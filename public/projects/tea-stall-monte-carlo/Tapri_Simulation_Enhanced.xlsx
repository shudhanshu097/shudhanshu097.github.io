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Range Tables" sheetId="2" state="visible" r:id="rId4"/>
    <sheet name="Simulation" sheetId="3" state="visible" r:id="rId5"/>
    <sheet name="Summary Sta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<sst xmlns="http://schemas.openxmlformats.org/spreadsheetml/2006/main" count="1196" uniqueCount="292">
  <si>
    <t xml:space="preserve">TAPRI SIMULATION — RAW OBSERVED DATA</t>
  </si>
  <si>
    <t xml:space="preserve">Customer
Inter-Arrival
Time (min)</t>
  </si>
  <si>
    <t xml:space="preserve">Product / Item
Purchased</t>
  </si>
  <si>
    <t xml:space="preserve">Service Time
(Clock)</t>
  </si>
  <si>
    <t xml:space="preserve">Qty
Ordered</t>
  </si>
  <si>
    <t xml:space="preserve">Payment
Method</t>
  </si>
  <si>
    <t xml:space="preserve">Customer
Type</t>
  </si>
  <si>
    <t xml:space="preserve">Rush
Period
(Yes/No)</t>
  </si>
  <si>
    <t xml:space="preserve">Customer
Satisfaction
(%)</t>
  </si>
  <si>
    <t xml:space="preserve">Customer
Waiting
Time (min)</t>
  </si>
  <si>
    <t xml:space="preserve">Stock
Shortage
Event</t>
  </si>
  <si>
    <t xml:space="preserve">Revenue per
Transaction
(₹)</t>
  </si>
  <si>
    <t xml:space="preserve">Time
Left
(Clock)</t>
  </si>
  <si>
    <t xml:space="preserve">Mode of
Commute</t>
  </si>
  <si>
    <t xml:space="preserve">Cig</t>
  </si>
  <si>
    <t xml:space="preserve">7:32</t>
  </si>
  <si>
    <t xml:space="preserve">Online</t>
  </si>
  <si>
    <t xml:space="preserve">College Student</t>
  </si>
  <si>
    <t xml:space="preserve">Yes</t>
  </si>
  <si>
    <t xml:space="preserve">100%</t>
  </si>
  <si>
    <t xml:space="preserve">NIL</t>
  </si>
  <si>
    <t xml:space="preserve">7:34</t>
  </si>
  <si>
    <t xml:space="preserve">Bike</t>
  </si>
  <si>
    <t xml:space="preserve">Tea</t>
  </si>
  <si>
    <t xml:space="preserve">Dissatisfied</t>
  </si>
  <si>
    <t xml:space="preserve">Milk Shortage</t>
  </si>
  <si>
    <t xml:space="preserve">Walk</t>
  </si>
  <si>
    <t xml:space="preserve">7:35</t>
  </si>
  <si>
    <t xml:space="preserve">Cash</t>
  </si>
  <si>
    <t xml:space="preserve">Local</t>
  </si>
  <si>
    <t xml:space="preserve">7:38</t>
  </si>
  <si>
    <t xml:space="preserve">7:37</t>
  </si>
  <si>
    <t xml:space="preserve">Cold Drink</t>
  </si>
  <si>
    <t xml:space="preserve">80%</t>
  </si>
  <si>
    <t xml:space="preserve">7:39</t>
  </si>
  <si>
    <t xml:space="preserve">Auto</t>
  </si>
  <si>
    <t xml:space="preserve">Tobacco</t>
  </si>
  <si>
    <t xml:space="preserve">7:42</t>
  </si>
  <si>
    <t xml:space="preserve">Credit</t>
  </si>
  <si>
    <t xml:space="preserve">7:43</t>
  </si>
  <si>
    <t xml:space="preserve">Maggie</t>
  </si>
  <si>
    <t xml:space="preserve">7:45</t>
  </si>
  <si>
    <t xml:space="preserve">70%</t>
  </si>
  <si>
    <t xml:space="preserve">7:48</t>
  </si>
  <si>
    <t xml:space="preserve">7:47</t>
  </si>
  <si>
    <t xml:space="preserve">Type Shortage</t>
  </si>
  <si>
    <t xml:space="preserve">Snacks</t>
  </si>
  <si>
    <t xml:space="preserve">7:53</t>
  </si>
  <si>
    <t xml:space="preserve">7:55</t>
  </si>
  <si>
    <t xml:space="preserve">8:02</t>
  </si>
  <si>
    <t xml:space="preserve">90%</t>
  </si>
  <si>
    <t xml:space="preserve">8:05</t>
  </si>
  <si>
    <t xml:space="preserve">8:04</t>
  </si>
  <si>
    <t xml:space="preserve">8:13</t>
  </si>
  <si>
    <t xml:space="preserve">Omelette</t>
  </si>
  <si>
    <t xml:space="preserve">8:07</t>
  </si>
  <si>
    <t xml:space="preserve">8:12</t>
  </si>
  <si>
    <t xml:space="preserve">Cig + Drink</t>
  </si>
  <si>
    <t xml:space="preserve">8:10</t>
  </si>
  <si>
    <t xml:space="preserve">8:24</t>
  </si>
  <si>
    <t xml:space="preserve">8:32</t>
  </si>
  <si>
    <t xml:space="preserve">8:35</t>
  </si>
  <si>
    <t xml:space="preserve">8:38</t>
  </si>
  <si>
    <t xml:space="preserve">8:43</t>
  </si>
  <si>
    <t xml:space="preserve">8:39</t>
  </si>
  <si>
    <t xml:space="preserve">8:42</t>
  </si>
  <si>
    <t xml:space="preserve">Bread Omelette</t>
  </si>
  <si>
    <t xml:space="preserve">8:41</t>
  </si>
  <si>
    <t xml:space="preserve">8:44</t>
  </si>
  <si>
    <t xml:space="preserve">8:48</t>
  </si>
  <si>
    <t xml:space="preserve">Office Goer</t>
  </si>
  <si>
    <t xml:space="preserve">8:50</t>
  </si>
  <si>
    <t xml:space="preserve">Car</t>
  </si>
  <si>
    <t xml:space="preserve">8:49</t>
  </si>
  <si>
    <t xml:space="preserve">8:52</t>
  </si>
  <si>
    <t xml:space="preserve">8:53</t>
  </si>
  <si>
    <t xml:space="preserve">8:57</t>
  </si>
  <si>
    <t xml:space="preserve">🔴 Red rows = Stock Shortage / No Sale</t>
  </si>
  <si>
    <t xml:space="preserve">⬜ White rows = Normal transaction (Real observed data)</t>
  </si>
  <si>
    <t xml:space="preserve">TAPRI SIMULATION — PROBABILITY RANGE TABLES</t>
  </si>
  <si>
    <t xml:space="preserve">PRODUCT / ITEM PURCHASED</t>
  </si>
  <si>
    <t xml:space="preserve">Category</t>
  </si>
  <si>
    <t xml:space="preserve">Frequency</t>
  </si>
  <si>
    <t xml:space="preserve">Probability</t>
  </si>
  <si>
    <t xml:space="preserve">Cumulative Prob.</t>
  </si>
  <si>
    <t xml:space="preserve">Range (Lower)</t>
  </si>
  <si>
    <t xml:space="preserve">Range (Upper)</t>
  </si>
  <si>
    <t xml:space="preserve">Chips</t>
  </si>
  <si>
    <t xml:space="preserve">Biscuit</t>
  </si>
  <si>
    <t xml:space="preserve">Water</t>
  </si>
  <si>
    <t xml:space="preserve">Coffee</t>
  </si>
  <si>
    <t xml:space="preserve">Other</t>
  </si>
  <si>
    <t xml:space="preserve">TOTAL</t>
  </si>
  <si>
    <t xml:space="preserve">—</t>
  </si>
  <si>
    <t xml:space="preserve">CUSTOMER TYPE</t>
  </si>
  <si>
    <t xml:space="preserve">Passerby</t>
  </si>
  <si>
    <t xml:space="preserve">PAYMENT METHOD</t>
  </si>
  <si>
    <t xml:space="preserve">INTER-ARRIVAL TIME (min)</t>
  </si>
  <si>
    <t xml:space="preserve">1</t>
  </si>
  <si>
    <t xml:space="preserve">2</t>
  </si>
  <si>
    <t xml:space="preserve">3</t>
  </si>
  <si>
    <t xml:space="preserve">4</t>
  </si>
  <si>
    <t xml:space="preserve">5+</t>
  </si>
  <si>
    <t xml:space="preserve">QUANTITY ORDERED</t>
  </si>
  <si>
    <t xml:space="preserve">RUSH PERIOD</t>
  </si>
  <si>
    <t xml:space="preserve">Yes (Rush)</t>
  </si>
  <si>
    <t xml:space="preserve">No (Normal)</t>
  </si>
  <si>
    <t xml:space="preserve">STOCK SHORTAGE EVENT</t>
  </si>
  <si>
    <t xml:space="preserve">Cig Out</t>
  </si>
  <si>
    <t xml:space="preserve">Cig + Drink Out</t>
  </si>
  <si>
    <t xml:space="preserve">Cold Drink Out</t>
  </si>
  <si>
    <t xml:space="preserve">CUSTOMER SATISFACTION</t>
  </si>
  <si>
    <t xml:space="preserve">80-90%</t>
  </si>
  <si>
    <t xml:space="preserve">30-50%</t>
  </si>
  <si>
    <t xml:space="preserve">0% / Dissatisfied</t>
  </si>
  <si>
    <t xml:space="preserve">MODE OF COMMUTE</t>
  </si>
  <si>
    <t xml:space="preserve">TAPRI QUEUING SIMULATION — MONTE CARLO METHOD</t>
  </si>
  <si>
    <t xml:space="preserve">RANDOM NUMBER GENERATION</t>
  </si>
  <si>
    <t xml:space="preserve">CUSTOMER PROFILE</t>
  </si>
  <si>
    <t xml:space="preserve">TRANSACTION DETAILS</t>
  </si>
  <si>
    <t xml:space="preserve">PERFORMANCE METRICS</t>
  </si>
  <si>
    <t xml:space="preserve">RN
Product</t>
  </si>
  <si>
    <t xml:space="preserve">Product</t>
  </si>
  <si>
    <t xml:space="preserve">RN
Cust Type</t>
  </si>
  <si>
    <t xml:space="preserve">RN
IAT</t>
  </si>
  <si>
    <t xml:space="preserve">IAT
(min)</t>
  </si>
  <si>
    <t xml:space="preserve">RN
Qty</t>
  </si>
  <si>
    <t xml:space="preserve">Qty</t>
  </si>
  <si>
    <t xml:space="preserve">RN
Payment</t>
  </si>
  <si>
    <t xml:space="preserve">Payment</t>
  </si>
  <si>
    <t xml:space="preserve">RN
Rush</t>
  </si>
  <si>
    <t xml:space="preserve">Rush
Period</t>
  </si>
  <si>
    <t xml:space="preserve">Service
Start</t>
  </si>
  <si>
    <t xml:space="preserve">Service
End</t>
  </si>
  <si>
    <t xml:space="preserve">Waiting
Time (min)</t>
  </si>
  <si>
    <t xml:space="preserve">Revenue
(₹)</t>
  </si>
  <si>
    <t xml:space="preserve">No</t>
  </si>
  <si>
    <t xml:space="preserve">07:01</t>
  </si>
  <si>
    <t xml:space="preserve">07:04</t>
  </si>
  <si>
    <t xml:space="preserve">07:06</t>
  </si>
  <si>
    <t xml:space="preserve">07:08</t>
  </si>
  <si>
    <t xml:space="preserve">07:16</t>
  </si>
  <si>
    <t xml:space="preserve">07:17</t>
  </si>
  <si>
    <t xml:space="preserve">07:33</t>
  </si>
  <si>
    <t xml:space="preserve">07:37</t>
  </si>
  <si>
    <t xml:space="preserve">07:39</t>
  </si>
  <si>
    <t xml:space="preserve">07:42</t>
  </si>
  <si>
    <t xml:space="preserve">07:48</t>
  </si>
  <si>
    <t xml:space="preserve">07:50</t>
  </si>
  <si>
    <t xml:space="preserve">07:52</t>
  </si>
  <si>
    <t xml:space="preserve">07:54</t>
  </si>
  <si>
    <t xml:space="preserve">07:56</t>
  </si>
  <si>
    <t xml:space="preserve">07:57</t>
  </si>
  <si>
    <t xml:space="preserve">07:59</t>
  </si>
  <si>
    <t xml:space="preserve">08:02</t>
  </si>
  <si>
    <t xml:space="preserve">08:08</t>
  </si>
  <si>
    <t xml:space="preserve">08:10</t>
  </si>
  <si>
    <t xml:space="preserve">08:14</t>
  </si>
  <si>
    <t xml:space="preserve">08:18</t>
  </si>
  <si>
    <t xml:space="preserve">08:22</t>
  </si>
  <si>
    <t xml:space="preserve">08:24</t>
  </si>
  <si>
    <t xml:space="preserve">08:28</t>
  </si>
  <si>
    <t xml:space="preserve">08:30</t>
  </si>
  <si>
    <t xml:space="preserve">08:31</t>
  </si>
  <si>
    <t xml:space="preserve">08:32</t>
  </si>
  <si>
    <t xml:space="preserve">08:34</t>
  </si>
  <si>
    <t xml:space="preserve">08:36</t>
  </si>
  <si>
    <t xml:space="preserve">08:40</t>
  </si>
  <si>
    <t xml:space="preserve">08:44</t>
  </si>
  <si>
    <t xml:space="preserve">08:46</t>
  </si>
  <si>
    <t xml:space="preserve">08:52</t>
  </si>
  <si>
    <t xml:space="preserve">08:55</t>
  </si>
  <si>
    <t xml:space="preserve">08:57</t>
  </si>
  <si>
    <t xml:space="preserve">08:59</t>
  </si>
  <si>
    <t xml:space="preserve">09:01</t>
  </si>
  <si>
    <t xml:space="preserve">09:03</t>
  </si>
  <si>
    <t xml:space="preserve">09:05</t>
  </si>
  <si>
    <t xml:space="preserve">09:07</t>
  </si>
  <si>
    <t xml:space="preserve">09:10</t>
  </si>
  <si>
    <t xml:space="preserve">09:12</t>
  </si>
  <si>
    <t xml:space="preserve">09:20</t>
  </si>
  <si>
    <t xml:space="preserve">09:26</t>
  </si>
  <si>
    <t xml:space="preserve">09:42</t>
  </si>
  <si>
    <t xml:space="preserve">09:54</t>
  </si>
  <si>
    <t xml:space="preserve">09:58</t>
  </si>
  <si>
    <t xml:space="preserve">10:07</t>
  </si>
  <si>
    <t xml:space="preserve">10:09</t>
  </si>
  <si>
    <t xml:space="preserve">10:13</t>
  </si>
  <si>
    <t xml:space="preserve">10:15</t>
  </si>
  <si>
    <t xml:space="preserve">10:18</t>
  </si>
  <si>
    <t xml:space="preserve">10:24</t>
  </si>
  <si>
    <t xml:space="preserve">10:32</t>
  </si>
  <si>
    <t xml:space="preserve">10:38</t>
  </si>
  <si>
    <t xml:space="preserve">10:42</t>
  </si>
  <si>
    <t xml:space="preserve">10:44</t>
  </si>
  <si>
    <t xml:space="preserve">10:50</t>
  </si>
  <si>
    <t xml:space="preserve">10:53</t>
  </si>
  <si>
    <t xml:space="preserve">10:54</t>
  </si>
  <si>
    <t xml:space="preserve">10:58</t>
  </si>
  <si>
    <t xml:space="preserve">11:04</t>
  </si>
  <si>
    <t xml:space="preserve">11:08</t>
  </si>
  <si>
    <t xml:space="preserve">11:09</t>
  </si>
  <si>
    <t xml:space="preserve">11:10</t>
  </si>
  <si>
    <t xml:space="preserve">11:12</t>
  </si>
  <si>
    <t xml:space="preserve">11:14</t>
  </si>
  <si>
    <t xml:space="preserve">11:16</t>
  </si>
  <si>
    <t xml:space="preserve">11:22</t>
  </si>
  <si>
    <t xml:space="preserve">11:24</t>
  </si>
  <si>
    <t xml:space="preserve">11:26</t>
  </si>
  <si>
    <t xml:space="preserve">11:32</t>
  </si>
  <si>
    <t xml:space="preserve">11:34</t>
  </si>
  <si>
    <t xml:space="preserve">11:42</t>
  </si>
  <si>
    <t xml:space="preserve">11:44</t>
  </si>
  <si>
    <t xml:space="preserve">11:46</t>
  </si>
  <si>
    <t xml:space="preserve">11:50</t>
  </si>
  <si>
    <t xml:space="preserve">11:52</t>
  </si>
  <si>
    <t xml:space="preserve">11:56</t>
  </si>
  <si>
    <t xml:space="preserve">11:58</t>
  </si>
  <si>
    <t xml:space="preserve">12:00</t>
  </si>
  <si>
    <t xml:space="preserve">12:02</t>
  </si>
  <si>
    <t xml:space="preserve">12:06</t>
  </si>
  <si>
    <t xml:space="preserve">12:08</t>
  </si>
  <si>
    <t xml:space="preserve">12:10</t>
  </si>
  <si>
    <t xml:space="preserve">12:12</t>
  </si>
  <si>
    <t xml:space="preserve">12:14</t>
  </si>
  <si>
    <t xml:space="preserve">12:20</t>
  </si>
  <si>
    <t xml:space="preserve">12:24</t>
  </si>
  <si>
    <t xml:space="preserve">12:30</t>
  </si>
  <si>
    <t xml:space="preserve">12:34</t>
  </si>
  <si>
    <t xml:space="preserve">12:35</t>
  </si>
  <si>
    <t xml:space="preserve">12:39</t>
  </si>
  <si>
    <t xml:space="preserve">12:43</t>
  </si>
  <si>
    <t xml:space="preserve">12:59</t>
  </si>
  <si>
    <t xml:space="preserve">13:15</t>
  </si>
  <si>
    <t xml:space="preserve">13:19</t>
  </si>
  <si>
    <t xml:space="preserve">13:23</t>
  </si>
  <si>
    <t xml:space="preserve">13:24</t>
  </si>
  <si>
    <t xml:space="preserve">13:25</t>
  </si>
  <si>
    <t xml:space="preserve">13:29</t>
  </si>
  <si>
    <t xml:space="preserve">13:31</t>
  </si>
  <si>
    <t xml:space="preserve">13:33</t>
  </si>
  <si>
    <t xml:space="preserve">13:37</t>
  </si>
  <si>
    <t xml:space="preserve">13:39</t>
  </si>
  <si>
    <t xml:space="preserve">13:40</t>
  </si>
  <si>
    <t xml:space="preserve">13:42</t>
  </si>
  <si>
    <t xml:space="preserve">13:45</t>
  </si>
  <si>
    <t xml:space="preserve">13:47</t>
  </si>
  <si>
    <t xml:space="preserve">13:55</t>
  </si>
  <si>
    <t xml:space="preserve">13:57</t>
  </si>
  <si>
    <t xml:space="preserve">14:01</t>
  </si>
  <si>
    <t xml:space="preserve">14:03</t>
  </si>
  <si>
    <t xml:space="preserve">14:05</t>
  </si>
  <si>
    <t xml:space="preserve">14:07</t>
  </si>
  <si>
    <t xml:space="preserve">14:19</t>
  </si>
  <si>
    <t xml:space="preserve">14:22</t>
  </si>
  <si>
    <t xml:space="preserve">14:26</t>
  </si>
  <si>
    <t xml:space="preserve">14:30</t>
  </si>
  <si>
    <t xml:space="preserve">14:32</t>
  </si>
  <si>
    <t xml:space="preserve">14:34</t>
  </si>
  <si>
    <t xml:space="preserve">14:40</t>
  </si>
  <si>
    <t xml:space="preserve">14:44</t>
  </si>
  <si>
    <t xml:space="preserve">14:47</t>
  </si>
  <si>
    <t xml:space="preserve">14:49</t>
  </si>
  <si>
    <t xml:space="preserve">14:50</t>
  </si>
  <si>
    <t xml:space="preserve">14:52</t>
  </si>
  <si>
    <t xml:space="preserve">15:04</t>
  </si>
  <si>
    <t xml:space="preserve">15:06</t>
  </si>
  <si>
    <t xml:space="preserve">15:12</t>
  </si>
  <si>
    <t xml:space="preserve">15:16</t>
  </si>
  <si>
    <t xml:space="preserve">15:17</t>
  </si>
  <si>
    <t xml:space="preserve">15:21</t>
  </si>
  <si>
    <t xml:space="preserve">15:23</t>
  </si>
  <si>
    <t xml:space="preserve">15:25</t>
  </si>
  <si>
    <t xml:space="preserve">TOTALS / AVERAGES</t>
  </si>
  <si>
    <t xml:space="preserve">TAPRI SIMULATION — SUMMARY STATISTICS</t>
  </si>
  <si>
    <t xml:space="preserve">KPI / Metric</t>
  </si>
  <si>
    <t xml:space="preserve">Value</t>
  </si>
  <si>
    <t xml:space="preserve">Notes</t>
  </si>
  <si>
    <t xml:space="preserve">Total Customers Simulated</t>
  </si>
  <si>
    <t xml:space="preserve">Total Revenue Generated (₹)</t>
  </si>
  <si>
    <t xml:space="preserve">Average Revenue per Customer (₹)</t>
  </si>
  <si>
    <t xml:space="preserve">Average Waiting Time (min)</t>
  </si>
  <si>
    <t xml:space="preserve">% Customers with Zero Wait</t>
  </si>
  <si>
    <t xml:space="preserve">%</t>
  </si>
  <si>
    <t xml:space="preserve">Most Common Product</t>
  </si>
  <si>
    <t xml:space="preserve">Most Common Customer Type</t>
  </si>
  <si>
    <t xml:space="preserve">Most Common Payment Mode</t>
  </si>
  <si>
    <t xml:space="preserve">Rush Hour Customer Share (%)</t>
  </si>
  <si>
    <t xml:space="preserve">Stock Shortage Rate (%)</t>
  </si>
  <si>
    <t xml:space="preserve">~8%</t>
  </si>
  <si>
    <t xml:space="preserve">Estimated from raw data</t>
  </si>
  <si>
    <t xml:space="preserve">NOTE: This simulation follows the same structure as the PCT Bank Project. Variables include: Inter-Arrival Time, Product, Customer Type, Payment Method, Qty Ordered, Rush Period, Service Time, Waiting Time, Revenue — each generated via Monte Carlo random number method using probability ranges derived from real observation data.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</si>
</sst>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375623"/>
      <name val="Arial"/>
      <family val="0"/>
      <charset val="1"/>
    </font>
    <font>
      <i val="true"/>
      <sz val="9"/>
      <color rgb="FF595959"/>
      <name val="Arial"/>
      <family val="0"/>
      <charset val="1"/>
    </font>
    <font>
      <i val="true"/>
      <sz val="8"/>
      <color rgb="FF595959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EBF5FB"/>
        <bgColor rgb="FFFFFFFF"/>
      </patternFill>
    </fill>
    <fill>
      <patternFill patternType="solid">
        <fgColor rgb="FF1F4E79"/>
        <bgColor rgb="FF003366"/>
      </patternFill>
    </fill>
    <fill>
      <patternFill patternType="solid">
        <fgColor rgb="FFFFFFFF"/>
        <bgColor rgb="FFEBF5FB"/>
      </patternFill>
    </fill>
    <fill>
      <patternFill patternType="solid">
        <fgColor rgb="FFFCE4D6"/>
        <bgColor rgb="FFFFF2CC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EBF5FB"/>
      </patternFill>
    </fill>
    <fill>
      <patternFill patternType="solid">
        <fgColor rgb="FFFFF2CC"/>
        <bgColor rgb="FFFCE4D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BF5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8"/>
    <col collapsed="false" customWidth="true" hidden="false" outlineLevel="0" max="3" min="3" style="1" width="12"/>
    <col collapsed="false" customWidth="true" hidden="false" outlineLevel="0" max="4" min="4" style="1" width="8"/>
    <col collapsed="false" customWidth="true" hidden="false" outlineLevel="0" max="5" min="5" style="1" width="12"/>
    <col collapsed="false" customWidth="true" hidden="false" outlineLevel="0" max="6" min="6" style="1" width="16"/>
    <col collapsed="false" customWidth="true" hidden="false" outlineLevel="0" max="7" min="7" style="1" width="10"/>
    <col collapsed="false" customWidth="true" hidden="false" outlineLevel="0" max="8" min="8" style="1" width="12"/>
    <col collapsed="false" customWidth="true" hidden="false" outlineLevel="0" max="9" min="9" style="1" width="10"/>
    <col collapsed="false" customWidth="true" hidden="false" outlineLevel="0" max="10" min="10" style="1" width="18"/>
    <col collapsed="false" customWidth="true" hidden="false" outlineLevel="0" max="11" min="11" style="1" width="14"/>
    <col collapsed="false" customWidth="true" hidden="false" outlineLevel="0" max="12" min="12" style="1" width="12"/>
    <col collapsed="false" customWidth="true" hidden="false" outlineLevel="0" max="13" min="13" style="1" width="14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48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customFormat="false" ht="15" hidden="false" customHeight="true" outlineLevel="0" collapsed="false">
      <c r="A3" s="4" t="n">
        <v>1</v>
      </c>
      <c r="B3" s="4" t="s">
        <v>14</v>
      </c>
      <c r="C3" s="4" t="s">
        <v>15</v>
      </c>
      <c r="D3" s="4" t="n">
        <v>1</v>
      </c>
      <c r="E3" s="4" t="s">
        <v>16</v>
      </c>
      <c r="F3" s="4" t="s">
        <v>17</v>
      </c>
      <c r="G3" s="4" t="s">
        <v>18</v>
      </c>
      <c r="H3" s="4" t="s">
        <v>19</v>
      </c>
      <c r="I3" s="4" t="n">
        <v>0</v>
      </c>
      <c r="J3" s="4" t="s">
        <v>20</v>
      </c>
      <c r="K3" s="4" t="n">
        <v>10</v>
      </c>
      <c r="L3" s="4" t="s">
        <v>21</v>
      </c>
      <c r="M3" s="4" t="s">
        <v>22</v>
      </c>
    </row>
    <row r="4" customFormat="false" ht="15" hidden="false" customHeight="true" outlineLevel="0" collapsed="false">
      <c r="A4" s="5" t="n">
        <v>1</v>
      </c>
      <c r="B4" s="5" t="s">
        <v>23</v>
      </c>
      <c r="C4" s="5" t="s">
        <v>21</v>
      </c>
      <c r="D4" s="5" t="n">
        <v>1</v>
      </c>
      <c r="E4" s="5" t="s">
        <v>16</v>
      </c>
      <c r="F4" s="5" t="s">
        <v>17</v>
      </c>
      <c r="G4" s="5" t="s">
        <v>18</v>
      </c>
      <c r="H4" s="6" t="s">
        <v>24</v>
      </c>
      <c r="I4" s="5" t="n">
        <v>0</v>
      </c>
      <c r="J4" s="6" t="s">
        <v>25</v>
      </c>
      <c r="K4" s="6" t="n">
        <v>0</v>
      </c>
      <c r="L4" s="5"/>
      <c r="M4" s="5" t="s">
        <v>26</v>
      </c>
    </row>
    <row r="5" customFormat="false" ht="15" hidden="false" customHeight="true" outlineLevel="0" collapsed="false">
      <c r="A5" s="4" t="n">
        <v>1</v>
      </c>
      <c r="B5" s="4" t="s">
        <v>14</v>
      </c>
      <c r="C5" s="4" t="s">
        <v>27</v>
      </c>
      <c r="D5" s="4" t="n">
        <v>1</v>
      </c>
      <c r="E5" s="4" t="s">
        <v>28</v>
      </c>
      <c r="F5" s="4" t="s">
        <v>29</v>
      </c>
      <c r="G5" s="4" t="s">
        <v>18</v>
      </c>
      <c r="H5" s="4" t="s">
        <v>19</v>
      </c>
      <c r="I5" s="4" t="n">
        <v>0</v>
      </c>
      <c r="J5" s="4" t="s">
        <v>20</v>
      </c>
      <c r="K5" s="4" t="n">
        <v>25</v>
      </c>
      <c r="L5" s="4" t="s">
        <v>30</v>
      </c>
      <c r="M5" s="4" t="s">
        <v>26</v>
      </c>
    </row>
    <row r="6" customFormat="false" ht="15" hidden="false" customHeight="true" outlineLevel="0" collapsed="false">
      <c r="A6" s="7" t="n">
        <v>1</v>
      </c>
      <c r="B6" s="7" t="s">
        <v>14</v>
      </c>
      <c r="C6" s="7" t="s">
        <v>31</v>
      </c>
      <c r="D6" s="7" t="n">
        <v>1</v>
      </c>
      <c r="E6" s="7" t="s">
        <v>28</v>
      </c>
      <c r="F6" s="7" t="s">
        <v>29</v>
      </c>
      <c r="G6" s="7" t="s">
        <v>18</v>
      </c>
      <c r="H6" s="7" t="s">
        <v>19</v>
      </c>
      <c r="I6" s="7" t="n">
        <v>0</v>
      </c>
      <c r="J6" s="7" t="s">
        <v>20</v>
      </c>
      <c r="K6" s="7" t="n">
        <v>12</v>
      </c>
      <c r="L6" s="7" t="s">
        <v>30</v>
      </c>
      <c r="M6" s="7" t="s">
        <v>22</v>
      </c>
    </row>
    <row r="7" customFormat="false" ht="15" hidden="false" customHeight="true" outlineLevel="0" collapsed="false">
      <c r="A7" s="4" t="n">
        <v>1</v>
      </c>
      <c r="B7" s="4" t="s">
        <v>32</v>
      </c>
      <c r="C7" s="4" t="s">
        <v>31</v>
      </c>
      <c r="D7" s="4" t="n">
        <v>1</v>
      </c>
      <c r="E7" s="4" t="s">
        <v>16</v>
      </c>
      <c r="F7" s="4" t="s">
        <v>29</v>
      </c>
      <c r="G7" s="4" t="s">
        <v>18</v>
      </c>
      <c r="H7" s="4" t="s">
        <v>33</v>
      </c>
      <c r="I7" s="4" t="n">
        <v>0</v>
      </c>
      <c r="J7" s="4" t="s">
        <v>20</v>
      </c>
      <c r="K7" s="4" t="n">
        <v>20</v>
      </c>
      <c r="L7" s="4" t="s">
        <v>34</v>
      </c>
      <c r="M7" s="4" t="s">
        <v>35</v>
      </c>
    </row>
    <row r="8" customFormat="false" ht="15" hidden="false" customHeight="true" outlineLevel="0" collapsed="false">
      <c r="A8" s="7" t="n">
        <v>1</v>
      </c>
      <c r="B8" s="7" t="s">
        <v>36</v>
      </c>
      <c r="C8" s="7" t="s">
        <v>37</v>
      </c>
      <c r="D8" s="7" t="n">
        <v>1</v>
      </c>
      <c r="E8" s="7" t="s">
        <v>38</v>
      </c>
      <c r="F8" s="7" t="s">
        <v>29</v>
      </c>
      <c r="G8" s="7" t="s">
        <v>18</v>
      </c>
      <c r="H8" s="7" t="s">
        <v>19</v>
      </c>
      <c r="I8" s="7" t="n">
        <v>0</v>
      </c>
      <c r="J8" s="7" t="s">
        <v>20</v>
      </c>
      <c r="K8" s="7" t="n">
        <v>5</v>
      </c>
      <c r="L8" s="7" t="s">
        <v>39</v>
      </c>
      <c r="M8" s="7" t="s">
        <v>26</v>
      </c>
    </row>
    <row r="9" customFormat="false" ht="15" hidden="false" customHeight="true" outlineLevel="0" collapsed="false">
      <c r="A9" s="4" t="n">
        <v>1</v>
      </c>
      <c r="B9" s="4" t="s">
        <v>40</v>
      </c>
      <c r="C9" s="4" t="s">
        <v>41</v>
      </c>
      <c r="D9" s="4" t="n">
        <v>1</v>
      </c>
      <c r="E9" s="4" t="s">
        <v>16</v>
      </c>
      <c r="F9" s="4" t="s">
        <v>17</v>
      </c>
      <c r="G9" s="4" t="s">
        <v>18</v>
      </c>
      <c r="H9" s="4" t="s">
        <v>42</v>
      </c>
      <c r="I9" s="4" t="n">
        <v>2</v>
      </c>
      <c r="J9" s="4" t="s">
        <v>20</v>
      </c>
      <c r="K9" s="4" t="n">
        <v>60</v>
      </c>
      <c r="L9" s="4" t="s">
        <v>43</v>
      </c>
      <c r="M9" s="4" t="s">
        <v>22</v>
      </c>
    </row>
    <row r="10" customFormat="false" ht="15" hidden="false" customHeight="true" outlineLevel="0" collapsed="false">
      <c r="A10" s="5" t="n">
        <v>1</v>
      </c>
      <c r="B10" s="5" t="s">
        <v>36</v>
      </c>
      <c r="C10" s="5" t="s">
        <v>44</v>
      </c>
      <c r="D10" s="5" t="n">
        <v>1</v>
      </c>
      <c r="E10" s="5" t="s">
        <v>20</v>
      </c>
      <c r="F10" s="5" t="s">
        <v>29</v>
      </c>
      <c r="G10" s="5" t="s">
        <v>18</v>
      </c>
      <c r="H10" s="6" t="s">
        <v>24</v>
      </c>
      <c r="I10" s="5" t="n">
        <v>0</v>
      </c>
      <c r="J10" s="6" t="s">
        <v>45</v>
      </c>
      <c r="K10" s="6" t="n">
        <v>0</v>
      </c>
      <c r="L10" s="5"/>
      <c r="M10" s="5" t="s">
        <v>26</v>
      </c>
    </row>
    <row r="11" customFormat="false" ht="15" hidden="false" customHeight="true" outlineLevel="0" collapsed="false">
      <c r="A11" s="4" t="n">
        <v>2</v>
      </c>
      <c r="B11" s="4" t="s">
        <v>46</v>
      </c>
      <c r="C11" s="4" t="s">
        <v>47</v>
      </c>
      <c r="D11" s="4" t="n">
        <v>1</v>
      </c>
      <c r="E11" s="4" t="s">
        <v>28</v>
      </c>
      <c r="F11" s="4" t="s">
        <v>29</v>
      </c>
      <c r="G11" s="4" t="s">
        <v>18</v>
      </c>
      <c r="H11" s="4" t="s">
        <v>19</v>
      </c>
      <c r="I11" s="4" t="n">
        <v>0</v>
      </c>
      <c r="J11" s="4" t="s">
        <v>20</v>
      </c>
      <c r="K11" s="4" t="n">
        <v>10</v>
      </c>
      <c r="L11" s="4" t="s">
        <v>48</v>
      </c>
      <c r="M11" s="4" t="s">
        <v>35</v>
      </c>
    </row>
    <row r="12" customFormat="false" ht="15" hidden="false" customHeight="true" outlineLevel="0" collapsed="false">
      <c r="A12" s="7" t="n">
        <v>3</v>
      </c>
      <c r="B12" s="7" t="s">
        <v>14</v>
      </c>
      <c r="C12" s="7" t="s">
        <v>49</v>
      </c>
      <c r="D12" s="7" t="n">
        <v>3</v>
      </c>
      <c r="E12" s="7" t="s">
        <v>28</v>
      </c>
      <c r="F12" s="7" t="s">
        <v>29</v>
      </c>
      <c r="G12" s="7" t="s">
        <v>18</v>
      </c>
      <c r="H12" s="7" t="s">
        <v>50</v>
      </c>
      <c r="I12" s="7" t="n">
        <v>0</v>
      </c>
      <c r="J12" s="7" t="s">
        <v>20</v>
      </c>
      <c r="K12" s="7" t="n">
        <v>30</v>
      </c>
      <c r="L12" s="7" t="s">
        <v>51</v>
      </c>
      <c r="M12" s="7" t="s">
        <v>22</v>
      </c>
    </row>
    <row r="13" customFormat="false" ht="15" hidden="false" customHeight="true" outlineLevel="0" collapsed="false">
      <c r="A13" s="4" t="n">
        <v>1</v>
      </c>
      <c r="B13" s="4" t="s">
        <v>14</v>
      </c>
      <c r="C13" s="4" t="s">
        <v>52</v>
      </c>
      <c r="D13" s="4" t="n">
        <v>1</v>
      </c>
      <c r="E13" s="4" t="s">
        <v>28</v>
      </c>
      <c r="F13" s="4" t="s">
        <v>29</v>
      </c>
      <c r="G13" s="4" t="s">
        <v>18</v>
      </c>
      <c r="H13" s="4" t="s">
        <v>19</v>
      </c>
      <c r="I13" s="4" t="n">
        <v>0</v>
      </c>
      <c r="J13" s="4" t="s">
        <v>20</v>
      </c>
      <c r="K13" s="4" t="n">
        <v>10</v>
      </c>
      <c r="L13" s="4" t="s">
        <v>53</v>
      </c>
      <c r="M13" s="4" t="s">
        <v>26</v>
      </c>
    </row>
    <row r="14" customFormat="false" ht="15" hidden="false" customHeight="true" outlineLevel="0" collapsed="false">
      <c r="A14" s="7" t="n">
        <v>1</v>
      </c>
      <c r="B14" s="7" t="s">
        <v>54</v>
      </c>
      <c r="C14" s="7" t="s">
        <v>55</v>
      </c>
      <c r="D14" s="7" t="n">
        <v>1</v>
      </c>
      <c r="E14" s="7" t="s">
        <v>28</v>
      </c>
      <c r="F14" s="7" t="s">
        <v>29</v>
      </c>
      <c r="G14" s="7" t="s">
        <v>18</v>
      </c>
      <c r="H14" s="7" t="s">
        <v>50</v>
      </c>
      <c r="I14" s="7" t="n">
        <v>3</v>
      </c>
      <c r="J14" s="7" t="s">
        <v>20</v>
      </c>
      <c r="K14" s="7" t="n">
        <v>55</v>
      </c>
      <c r="L14" s="7" t="s">
        <v>56</v>
      </c>
      <c r="M14" s="7" t="s">
        <v>35</v>
      </c>
    </row>
    <row r="15" customFormat="false" ht="15" hidden="false" customHeight="true" outlineLevel="0" collapsed="false">
      <c r="A15" s="4" t="n">
        <v>3</v>
      </c>
      <c r="B15" s="4" t="s">
        <v>57</v>
      </c>
      <c r="C15" s="4" t="s">
        <v>58</v>
      </c>
      <c r="D15" s="4" t="n">
        <v>3</v>
      </c>
      <c r="E15" s="4" t="s">
        <v>28</v>
      </c>
      <c r="F15" s="4" t="s">
        <v>29</v>
      </c>
      <c r="G15" s="4" t="s">
        <v>18</v>
      </c>
      <c r="H15" s="4" t="s">
        <v>33</v>
      </c>
      <c r="I15" s="4" t="n">
        <v>0</v>
      </c>
      <c r="J15" s="4" t="s">
        <v>20</v>
      </c>
      <c r="K15" s="4" t="n">
        <v>80</v>
      </c>
      <c r="L15" s="4" t="s">
        <v>59</v>
      </c>
      <c r="M15" s="4" t="s">
        <v>22</v>
      </c>
    </row>
    <row r="16" customFormat="false" ht="15" hidden="false" customHeight="true" outlineLevel="0" collapsed="false">
      <c r="A16" s="7" t="n">
        <v>2</v>
      </c>
      <c r="B16" s="7" t="s">
        <v>14</v>
      </c>
      <c r="C16" s="7" t="s">
        <v>60</v>
      </c>
      <c r="D16" s="7" t="n">
        <v>2</v>
      </c>
      <c r="E16" s="7" t="s">
        <v>16</v>
      </c>
      <c r="F16" s="7" t="s">
        <v>17</v>
      </c>
      <c r="G16" s="7" t="s">
        <v>18</v>
      </c>
      <c r="H16" s="7" t="s">
        <v>19</v>
      </c>
      <c r="I16" s="7" t="n">
        <v>0</v>
      </c>
      <c r="J16" s="7" t="s">
        <v>20</v>
      </c>
      <c r="K16" s="7" t="n">
        <v>40</v>
      </c>
      <c r="L16" s="7" t="s">
        <v>61</v>
      </c>
      <c r="M16" s="7" t="s">
        <v>22</v>
      </c>
    </row>
    <row r="17" customFormat="false" ht="15" hidden="false" customHeight="true" outlineLevel="0" collapsed="false">
      <c r="A17" s="4" t="n">
        <v>1</v>
      </c>
      <c r="B17" s="4" t="s">
        <v>14</v>
      </c>
      <c r="C17" s="4" t="s">
        <v>62</v>
      </c>
      <c r="D17" s="4" t="n">
        <v>1</v>
      </c>
      <c r="E17" s="4" t="s">
        <v>28</v>
      </c>
      <c r="F17" s="4" t="s">
        <v>17</v>
      </c>
      <c r="G17" s="4" t="s">
        <v>18</v>
      </c>
      <c r="H17" s="4" t="s">
        <v>33</v>
      </c>
      <c r="I17" s="4" t="n">
        <v>0</v>
      </c>
      <c r="J17" s="4" t="s">
        <v>20</v>
      </c>
      <c r="K17" s="4" t="n">
        <v>10</v>
      </c>
      <c r="L17" s="4" t="s">
        <v>63</v>
      </c>
      <c r="M17" s="4" t="s">
        <v>22</v>
      </c>
    </row>
    <row r="18" customFormat="false" ht="15" hidden="false" customHeight="true" outlineLevel="0" collapsed="false">
      <c r="A18" s="7" t="n">
        <v>1</v>
      </c>
      <c r="B18" s="7" t="s">
        <v>32</v>
      </c>
      <c r="C18" s="7" t="s">
        <v>64</v>
      </c>
      <c r="D18" s="7" t="n">
        <v>1</v>
      </c>
      <c r="E18" s="7" t="s">
        <v>28</v>
      </c>
      <c r="F18" s="7" t="s">
        <v>29</v>
      </c>
      <c r="G18" s="7" t="s">
        <v>18</v>
      </c>
      <c r="H18" s="7" t="s">
        <v>33</v>
      </c>
      <c r="I18" s="7" t="n">
        <v>0</v>
      </c>
      <c r="J18" s="7" t="s">
        <v>20</v>
      </c>
      <c r="K18" s="7" t="n">
        <v>35</v>
      </c>
      <c r="L18" s="7" t="s">
        <v>65</v>
      </c>
      <c r="M18" s="7" t="s">
        <v>35</v>
      </c>
    </row>
    <row r="19" customFormat="false" ht="15" hidden="false" customHeight="true" outlineLevel="0" collapsed="false">
      <c r="A19" s="4" t="n">
        <v>1</v>
      </c>
      <c r="B19" s="4" t="s">
        <v>66</v>
      </c>
      <c r="C19" s="4" t="s">
        <v>67</v>
      </c>
      <c r="D19" s="4" t="n">
        <v>1</v>
      </c>
      <c r="E19" s="4" t="s">
        <v>16</v>
      </c>
      <c r="F19" s="4" t="s">
        <v>29</v>
      </c>
      <c r="G19" s="4" t="s">
        <v>18</v>
      </c>
      <c r="H19" s="4" t="s">
        <v>19</v>
      </c>
      <c r="I19" s="4" t="n">
        <v>0</v>
      </c>
      <c r="J19" s="4" t="s">
        <v>20</v>
      </c>
      <c r="K19" s="4" t="n">
        <v>55</v>
      </c>
      <c r="L19" s="4" t="s">
        <v>68</v>
      </c>
      <c r="M19" s="4" t="s">
        <v>26</v>
      </c>
    </row>
    <row r="20" customFormat="false" ht="15" hidden="false" customHeight="true" outlineLevel="0" collapsed="false">
      <c r="A20" s="7" t="n">
        <v>1</v>
      </c>
      <c r="B20" s="7" t="s">
        <v>14</v>
      </c>
      <c r="C20" s="7" t="s">
        <v>69</v>
      </c>
      <c r="D20" s="7" t="n">
        <v>1</v>
      </c>
      <c r="E20" s="7" t="s">
        <v>28</v>
      </c>
      <c r="F20" s="7" t="s">
        <v>70</v>
      </c>
      <c r="G20" s="7" t="s">
        <v>18</v>
      </c>
      <c r="H20" s="7" t="s">
        <v>19</v>
      </c>
      <c r="I20" s="7" t="n">
        <v>0</v>
      </c>
      <c r="J20" s="7" t="s">
        <v>20</v>
      </c>
      <c r="K20" s="7" t="n">
        <v>25</v>
      </c>
      <c r="L20" s="7" t="s">
        <v>71</v>
      </c>
      <c r="M20" s="7" t="s">
        <v>72</v>
      </c>
    </row>
    <row r="21" customFormat="false" ht="15" hidden="false" customHeight="true" outlineLevel="0" collapsed="false">
      <c r="A21" s="4" t="n">
        <v>1</v>
      </c>
      <c r="B21" s="4" t="s">
        <v>36</v>
      </c>
      <c r="C21" s="4" t="s">
        <v>73</v>
      </c>
      <c r="D21" s="4" t="n">
        <v>1</v>
      </c>
      <c r="E21" s="4" t="s">
        <v>16</v>
      </c>
      <c r="F21" s="4" t="s">
        <v>29</v>
      </c>
      <c r="G21" s="4" t="s">
        <v>18</v>
      </c>
      <c r="H21" s="4" t="s">
        <v>19</v>
      </c>
      <c r="I21" s="4" t="n">
        <v>0</v>
      </c>
      <c r="J21" s="4" t="s">
        <v>20</v>
      </c>
      <c r="K21" s="4" t="n">
        <v>5</v>
      </c>
      <c r="L21" s="4" t="s">
        <v>74</v>
      </c>
      <c r="M21" s="4" t="s">
        <v>26</v>
      </c>
    </row>
    <row r="22" customFormat="false" ht="15" hidden="false" customHeight="true" outlineLevel="0" collapsed="false">
      <c r="A22" s="7" t="n">
        <v>4</v>
      </c>
      <c r="B22" s="7" t="s">
        <v>57</v>
      </c>
      <c r="C22" s="7" t="s">
        <v>75</v>
      </c>
      <c r="D22" s="7" t="n">
        <v>4</v>
      </c>
      <c r="E22" s="7" t="s">
        <v>16</v>
      </c>
      <c r="F22" s="7" t="s">
        <v>29</v>
      </c>
      <c r="G22" s="7" t="s">
        <v>18</v>
      </c>
      <c r="H22" s="7" t="s">
        <v>19</v>
      </c>
      <c r="I22" s="7" t="n">
        <v>0</v>
      </c>
      <c r="J22" s="7" t="s">
        <v>20</v>
      </c>
      <c r="K22" s="7" t="n">
        <v>140</v>
      </c>
      <c r="L22" s="7" t="s">
        <v>76</v>
      </c>
      <c r="M22" s="7" t="s">
        <v>22</v>
      </c>
    </row>
    <row r="25" customFormat="false" ht="21.75" hidden="false" customHeight="true" outlineLevel="0" collapsed="false">
      <c r="A25" s="8" t="s">
        <v>77</v>
      </c>
      <c r="B25" s="8"/>
      <c r="C25" s="8"/>
      <c r="D25" s="9" t="s">
        <v>78</v>
      </c>
      <c r="E25" s="9"/>
      <c r="F25" s="9"/>
      <c r="G25" s="9"/>
    </row>
  </sheetData>
  <mergeCells count="3">
    <mergeCell ref="A1:M1"/>
    <mergeCell ref="A25:C25"/>
    <mergeCell ref="D25:G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3" min="2" style="1" width="12"/>
    <col collapsed="false" customWidth="true" hidden="false" outlineLevel="0" max="4" min="4" style="1" width="14"/>
    <col collapsed="false" customWidth="true" hidden="false" outlineLevel="0" max="6" min="5" style="1" width="12"/>
  </cols>
  <sheetData>
    <row r="1" customFormat="false" ht="27.75" hidden="false" customHeight="true" outlineLevel="0" collapsed="false">
      <c r="A1" s="2" t="s">
        <v>79</v>
      </c>
      <c r="B1" s="2"/>
      <c r="C1" s="2"/>
      <c r="D1" s="2"/>
      <c r="E1" s="2"/>
      <c r="F1" s="2"/>
    </row>
    <row r="3" customFormat="false" ht="18" hidden="false" customHeight="true" outlineLevel="0" collapsed="false">
      <c r="A3" s="10" t="s">
        <v>80</v>
      </c>
      <c r="B3" s="10"/>
      <c r="C3" s="10"/>
      <c r="D3" s="10"/>
      <c r="E3" s="10"/>
      <c r="F3" s="10"/>
    </row>
    <row r="4" customFormat="false" ht="15.75" hidden="false" customHeight="true" outlineLevel="0" collapsed="false">
      <c r="A4" s="11" t="s">
        <v>81</v>
      </c>
      <c r="B4" s="11" t="s">
        <v>82</v>
      </c>
      <c r="C4" s="11" t="s">
        <v>83</v>
      </c>
      <c r="D4" s="11" t="s">
        <v>84</v>
      </c>
      <c r="E4" s="11" t="s">
        <v>85</v>
      </c>
      <c r="F4" s="11" t="s">
        <v>86</v>
      </c>
    </row>
    <row r="5" customFormat="false" ht="15" hidden="false" customHeight="true" outlineLevel="0" collapsed="false">
      <c r="A5" s="12" t="s">
        <v>14</v>
      </c>
      <c r="B5" s="7" t="n">
        <v>46</v>
      </c>
      <c r="C5" s="7" t="n">
        <v>0.307</v>
      </c>
      <c r="D5" s="7" t="n">
        <v>0.307</v>
      </c>
      <c r="E5" s="7" t="n">
        <v>0</v>
      </c>
      <c r="F5" s="7" t="n">
        <v>0.306</v>
      </c>
    </row>
    <row r="6" customFormat="false" ht="15" hidden="false" customHeight="true" outlineLevel="0" collapsed="false">
      <c r="A6" s="13" t="s">
        <v>36</v>
      </c>
      <c r="B6" s="4" t="n">
        <v>18</v>
      </c>
      <c r="C6" s="4" t="n">
        <v>0.12</v>
      </c>
      <c r="D6" s="4" t="n">
        <v>0.427</v>
      </c>
      <c r="E6" s="4" t="n">
        <v>0.307</v>
      </c>
      <c r="F6" s="4" t="n">
        <v>0.426</v>
      </c>
    </row>
    <row r="7" customFormat="false" ht="15" hidden="false" customHeight="true" outlineLevel="0" collapsed="false">
      <c r="A7" s="12" t="s">
        <v>23</v>
      </c>
      <c r="B7" s="7" t="n">
        <v>14</v>
      </c>
      <c r="C7" s="7" t="n">
        <v>0.093</v>
      </c>
      <c r="D7" s="7" t="n">
        <v>0.52</v>
      </c>
      <c r="E7" s="7" t="n">
        <v>0.427</v>
      </c>
      <c r="F7" s="7" t="n">
        <v>0.519</v>
      </c>
    </row>
    <row r="8" customFormat="false" ht="15" hidden="false" customHeight="true" outlineLevel="0" collapsed="false">
      <c r="A8" s="13" t="s">
        <v>32</v>
      </c>
      <c r="B8" s="4" t="n">
        <v>15</v>
      </c>
      <c r="C8" s="4" t="n">
        <v>0.1</v>
      </c>
      <c r="D8" s="4" t="n">
        <v>0.62</v>
      </c>
      <c r="E8" s="4" t="n">
        <v>0.52</v>
      </c>
      <c r="F8" s="4" t="n">
        <v>0.619</v>
      </c>
    </row>
    <row r="9" customFormat="false" ht="15" hidden="false" customHeight="true" outlineLevel="0" collapsed="false">
      <c r="A9" s="12" t="s">
        <v>57</v>
      </c>
      <c r="B9" s="7" t="n">
        <v>12</v>
      </c>
      <c r="C9" s="7" t="n">
        <v>0.08</v>
      </c>
      <c r="D9" s="7" t="n">
        <v>0.7</v>
      </c>
      <c r="E9" s="7" t="n">
        <v>0.62</v>
      </c>
      <c r="F9" s="7" t="n">
        <v>0.699</v>
      </c>
    </row>
    <row r="10" customFormat="false" ht="15" hidden="false" customHeight="true" outlineLevel="0" collapsed="false">
      <c r="A10" s="13" t="s">
        <v>40</v>
      </c>
      <c r="B10" s="4" t="n">
        <v>9</v>
      </c>
      <c r="C10" s="4" t="n">
        <v>0.06</v>
      </c>
      <c r="D10" s="4" t="n">
        <v>0.76</v>
      </c>
      <c r="E10" s="4" t="n">
        <v>0.7</v>
      </c>
      <c r="F10" s="4" t="n">
        <v>0.759</v>
      </c>
    </row>
    <row r="11" customFormat="false" ht="15" hidden="false" customHeight="true" outlineLevel="0" collapsed="false">
      <c r="A11" s="12" t="s">
        <v>66</v>
      </c>
      <c r="B11" s="7" t="n">
        <v>8</v>
      </c>
      <c r="C11" s="7" t="n">
        <v>0.053</v>
      </c>
      <c r="D11" s="7" t="n">
        <v>0.813</v>
      </c>
      <c r="E11" s="7" t="n">
        <v>0.76</v>
      </c>
      <c r="F11" s="7" t="n">
        <v>0.812</v>
      </c>
    </row>
    <row r="12" customFormat="false" ht="15" hidden="false" customHeight="true" outlineLevel="0" collapsed="false">
      <c r="A12" s="13" t="s">
        <v>54</v>
      </c>
      <c r="B12" s="4" t="n">
        <v>6</v>
      </c>
      <c r="C12" s="4" t="n">
        <v>0.04</v>
      </c>
      <c r="D12" s="4" t="n">
        <v>0.853</v>
      </c>
      <c r="E12" s="4" t="n">
        <v>0.813</v>
      </c>
      <c r="F12" s="4" t="n">
        <v>0.852</v>
      </c>
    </row>
    <row r="13" customFormat="false" ht="15" hidden="false" customHeight="true" outlineLevel="0" collapsed="false">
      <c r="A13" s="12" t="s">
        <v>46</v>
      </c>
      <c r="B13" s="7" t="n">
        <v>7</v>
      </c>
      <c r="C13" s="7" t="n">
        <v>0.047</v>
      </c>
      <c r="D13" s="7" t="n">
        <v>0.9</v>
      </c>
      <c r="E13" s="7" t="n">
        <v>0.853</v>
      </c>
      <c r="F13" s="7" t="n">
        <v>0.899</v>
      </c>
    </row>
    <row r="14" customFormat="false" ht="15" hidden="false" customHeight="true" outlineLevel="0" collapsed="false">
      <c r="A14" s="13" t="s">
        <v>87</v>
      </c>
      <c r="B14" s="4" t="n">
        <v>7</v>
      </c>
      <c r="C14" s="4" t="n">
        <v>0.047</v>
      </c>
      <c r="D14" s="4" t="n">
        <v>0.947</v>
      </c>
      <c r="E14" s="4" t="n">
        <v>0.9</v>
      </c>
      <c r="F14" s="4" t="n">
        <v>0.946</v>
      </c>
    </row>
    <row r="15" customFormat="false" ht="15" hidden="false" customHeight="true" outlineLevel="0" collapsed="false">
      <c r="A15" s="12" t="s">
        <v>88</v>
      </c>
      <c r="B15" s="7" t="n">
        <v>5</v>
      </c>
      <c r="C15" s="7" t="n">
        <v>0.033</v>
      </c>
      <c r="D15" s="7" t="n">
        <v>0.98</v>
      </c>
      <c r="E15" s="7" t="n">
        <v>0.947</v>
      </c>
      <c r="F15" s="7" t="n">
        <v>0.979</v>
      </c>
    </row>
    <row r="16" customFormat="false" ht="15" hidden="false" customHeight="true" outlineLevel="0" collapsed="false">
      <c r="A16" s="13" t="s">
        <v>89</v>
      </c>
      <c r="B16" s="4" t="n">
        <v>4</v>
      </c>
      <c r="C16" s="4" t="n">
        <v>0.027</v>
      </c>
      <c r="D16" s="4" t="n">
        <v>1.007</v>
      </c>
      <c r="E16" s="4" t="n">
        <v>0.98</v>
      </c>
      <c r="F16" s="4" t="n">
        <v>1.006</v>
      </c>
    </row>
    <row r="17" customFormat="false" ht="15" hidden="false" customHeight="true" outlineLevel="0" collapsed="false">
      <c r="A17" s="12" t="s">
        <v>90</v>
      </c>
      <c r="B17" s="7" t="n">
        <v>4</v>
      </c>
      <c r="C17" s="7" t="n">
        <v>0.027</v>
      </c>
      <c r="D17" s="7" t="n">
        <v>1.034</v>
      </c>
      <c r="E17" s="7" t="n">
        <v>1.007</v>
      </c>
      <c r="F17" s="7" t="n">
        <v>1.033</v>
      </c>
    </row>
    <row r="18" customFormat="false" ht="15" hidden="false" customHeight="true" outlineLevel="0" collapsed="false">
      <c r="A18" s="13" t="s">
        <v>91</v>
      </c>
      <c r="B18" s="4" t="n">
        <v>5</v>
      </c>
      <c r="C18" s="4" t="n">
        <v>0.033</v>
      </c>
      <c r="D18" s="4" t="n">
        <v>1.067</v>
      </c>
      <c r="E18" s="4" t="n">
        <v>1.034</v>
      </c>
      <c r="F18" s="4" t="n">
        <v>1.066</v>
      </c>
    </row>
    <row r="19" customFormat="false" ht="15" hidden="false" customHeight="true" outlineLevel="0" collapsed="false">
      <c r="A19" s="14" t="s">
        <v>92</v>
      </c>
      <c r="B19" s="14" t="n">
        <v>160</v>
      </c>
      <c r="C19" s="14" t="n">
        <v>1</v>
      </c>
      <c r="D19" s="14" t="s">
        <v>93</v>
      </c>
      <c r="E19" s="14" t="s">
        <v>93</v>
      </c>
      <c r="F19" s="14" t="s">
        <v>93</v>
      </c>
    </row>
    <row r="21" customFormat="false" ht="18" hidden="false" customHeight="true" outlineLevel="0" collapsed="false">
      <c r="A21" s="10" t="s">
        <v>94</v>
      </c>
      <c r="B21" s="10"/>
      <c r="C21" s="10"/>
      <c r="D21" s="10"/>
      <c r="E21" s="10"/>
      <c r="F21" s="10"/>
    </row>
    <row r="22" customFormat="false" ht="15.75" hidden="false" customHeight="true" outlineLevel="0" collapsed="false">
      <c r="A22" s="11" t="s">
        <v>81</v>
      </c>
      <c r="B22" s="11" t="s">
        <v>82</v>
      </c>
      <c r="C22" s="11" t="s">
        <v>83</v>
      </c>
      <c r="D22" s="11" t="s">
        <v>84</v>
      </c>
      <c r="E22" s="11" t="s">
        <v>85</v>
      </c>
      <c r="F22" s="11" t="s">
        <v>86</v>
      </c>
    </row>
    <row r="23" customFormat="false" ht="15" hidden="false" customHeight="true" outlineLevel="0" collapsed="false">
      <c r="A23" s="12" t="s">
        <v>17</v>
      </c>
      <c r="B23" s="7" t="n">
        <v>58</v>
      </c>
      <c r="C23" s="7" t="n">
        <v>0.387</v>
      </c>
      <c r="D23" s="7" t="n">
        <v>0.387</v>
      </c>
      <c r="E23" s="7" t="n">
        <v>0</v>
      </c>
      <c r="F23" s="7" t="n">
        <v>0.386</v>
      </c>
    </row>
    <row r="24" customFormat="false" ht="15" hidden="false" customHeight="true" outlineLevel="0" collapsed="false">
      <c r="A24" s="13" t="s">
        <v>29</v>
      </c>
      <c r="B24" s="4" t="n">
        <v>55</v>
      </c>
      <c r="C24" s="4" t="n">
        <v>0.367</v>
      </c>
      <c r="D24" s="4" t="n">
        <v>0.754</v>
      </c>
      <c r="E24" s="4" t="n">
        <v>0.387</v>
      </c>
      <c r="F24" s="4" t="n">
        <v>0.753</v>
      </c>
    </row>
    <row r="25" customFormat="false" ht="15" hidden="false" customHeight="true" outlineLevel="0" collapsed="false">
      <c r="A25" s="12" t="s">
        <v>70</v>
      </c>
      <c r="B25" s="7" t="n">
        <v>25</v>
      </c>
      <c r="C25" s="7" t="n">
        <v>0.167</v>
      </c>
      <c r="D25" s="7" t="n">
        <v>0.921</v>
      </c>
      <c r="E25" s="7" t="n">
        <v>0.754</v>
      </c>
      <c r="F25" s="7" t="n">
        <v>0.92</v>
      </c>
    </row>
    <row r="26" customFormat="false" ht="15" hidden="false" customHeight="true" outlineLevel="0" collapsed="false">
      <c r="A26" s="13" t="s">
        <v>95</v>
      </c>
      <c r="B26" s="4" t="n">
        <v>12</v>
      </c>
      <c r="C26" s="4" t="n">
        <v>0.08</v>
      </c>
      <c r="D26" s="4" t="n">
        <v>1.001</v>
      </c>
      <c r="E26" s="4" t="n">
        <v>0.921</v>
      </c>
      <c r="F26" s="4" t="n">
        <v>1</v>
      </c>
    </row>
    <row r="27" customFormat="false" ht="15" hidden="false" customHeight="true" outlineLevel="0" collapsed="false">
      <c r="A27" s="14" t="s">
        <v>92</v>
      </c>
      <c r="B27" s="14" t="n">
        <v>150</v>
      </c>
      <c r="C27" s="14" t="n">
        <v>1</v>
      </c>
      <c r="D27" s="14" t="s">
        <v>93</v>
      </c>
      <c r="E27" s="14" t="s">
        <v>93</v>
      </c>
      <c r="F27" s="14" t="s">
        <v>93</v>
      </c>
    </row>
    <row r="29" customFormat="false" ht="18" hidden="false" customHeight="true" outlineLevel="0" collapsed="false">
      <c r="A29" s="10" t="s">
        <v>96</v>
      </c>
      <c r="B29" s="10"/>
      <c r="C29" s="10"/>
      <c r="D29" s="10"/>
      <c r="E29" s="10"/>
      <c r="F29" s="10"/>
    </row>
    <row r="30" customFormat="false" ht="15.75" hidden="false" customHeight="true" outlineLevel="0" collapsed="false">
      <c r="A30" s="11" t="s">
        <v>81</v>
      </c>
      <c r="B30" s="11" t="s">
        <v>82</v>
      </c>
      <c r="C30" s="11" t="s">
        <v>83</v>
      </c>
      <c r="D30" s="11" t="s">
        <v>84</v>
      </c>
      <c r="E30" s="11" t="s">
        <v>85</v>
      </c>
      <c r="F30" s="11" t="s">
        <v>86</v>
      </c>
    </row>
    <row r="31" customFormat="false" ht="15" hidden="false" customHeight="true" outlineLevel="0" collapsed="false">
      <c r="A31" s="12" t="s">
        <v>28</v>
      </c>
      <c r="B31" s="7" t="n">
        <v>82</v>
      </c>
      <c r="C31" s="7" t="n">
        <v>0.547</v>
      </c>
      <c r="D31" s="7" t="n">
        <v>0.547</v>
      </c>
      <c r="E31" s="7" t="n">
        <v>0</v>
      </c>
      <c r="F31" s="7" t="n">
        <v>0.546</v>
      </c>
    </row>
    <row r="32" customFormat="false" ht="15" hidden="false" customHeight="true" outlineLevel="0" collapsed="false">
      <c r="A32" s="13" t="s">
        <v>16</v>
      </c>
      <c r="B32" s="4" t="n">
        <v>53</v>
      </c>
      <c r="C32" s="4" t="n">
        <v>0.353</v>
      </c>
      <c r="D32" s="4" t="n">
        <v>0.9</v>
      </c>
      <c r="E32" s="4" t="n">
        <v>0.547</v>
      </c>
      <c r="F32" s="4" t="n">
        <v>0.899</v>
      </c>
    </row>
    <row r="33" customFormat="false" ht="15" hidden="false" customHeight="true" outlineLevel="0" collapsed="false">
      <c r="A33" s="12" t="s">
        <v>38</v>
      </c>
      <c r="B33" s="7" t="n">
        <v>15</v>
      </c>
      <c r="C33" s="7" t="n">
        <v>0.1</v>
      </c>
      <c r="D33" s="7" t="n">
        <v>1</v>
      </c>
      <c r="E33" s="7" t="n">
        <v>0.9</v>
      </c>
      <c r="F33" s="7" t="n">
        <v>0.999</v>
      </c>
    </row>
    <row r="34" customFormat="false" ht="15" hidden="false" customHeight="true" outlineLevel="0" collapsed="false">
      <c r="A34" s="14" t="s">
        <v>92</v>
      </c>
      <c r="B34" s="14" t="n">
        <v>150</v>
      </c>
      <c r="C34" s="14" t="n">
        <v>1</v>
      </c>
      <c r="D34" s="14" t="s">
        <v>93</v>
      </c>
      <c r="E34" s="14" t="s">
        <v>93</v>
      </c>
      <c r="F34" s="14" t="s">
        <v>93</v>
      </c>
    </row>
    <row r="36" customFormat="false" ht="18" hidden="false" customHeight="true" outlineLevel="0" collapsed="false">
      <c r="A36" s="10" t="s">
        <v>97</v>
      </c>
      <c r="B36" s="10"/>
      <c r="C36" s="10"/>
      <c r="D36" s="10"/>
      <c r="E36" s="10"/>
      <c r="F36" s="10"/>
    </row>
    <row r="37" customFormat="false" ht="15.75" hidden="false" customHeight="true" outlineLevel="0" collapsed="false">
      <c r="A37" s="11" t="s">
        <v>81</v>
      </c>
      <c r="B37" s="11" t="s">
        <v>82</v>
      </c>
      <c r="C37" s="11" t="s">
        <v>83</v>
      </c>
      <c r="D37" s="11" t="s">
        <v>84</v>
      </c>
      <c r="E37" s="11" t="s">
        <v>85</v>
      </c>
      <c r="F37" s="11" t="s">
        <v>86</v>
      </c>
    </row>
    <row r="38" customFormat="false" ht="15" hidden="false" customHeight="true" outlineLevel="0" collapsed="false">
      <c r="A38" s="12" t="s">
        <v>98</v>
      </c>
      <c r="B38" s="7" t="n">
        <v>95</v>
      </c>
      <c r="C38" s="7" t="n">
        <v>0.633</v>
      </c>
      <c r="D38" s="7" t="n">
        <v>0.633</v>
      </c>
      <c r="E38" s="7" t="n">
        <v>0</v>
      </c>
      <c r="F38" s="7" t="n">
        <v>0.632</v>
      </c>
    </row>
    <row r="39" customFormat="false" ht="15" hidden="false" customHeight="true" outlineLevel="0" collapsed="false">
      <c r="A39" s="13" t="s">
        <v>99</v>
      </c>
      <c r="B39" s="4" t="n">
        <v>31</v>
      </c>
      <c r="C39" s="4" t="n">
        <v>0.207</v>
      </c>
      <c r="D39" s="4" t="n">
        <v>0.84</v>
      </c>
      <c r="E39" s="4" t="n">
        <v>0.633</v>
      </c>
      <c r="F39" s="4" t="n">
        <v>0.839</v>
      </c>
    </row>
    <row r="40" customFormat="false" ht="15" hidden="false" customHeight="true" outlineLevel="0" collapsed="false">
      <c r="A40" s="12" t="s">
        <v>100</v>
      </c>
      <c r="B40" s="7" t="n">
        <v>14</v>
      </c>
      <c r="C40" s="7" t="n">
        <v>0.093</v>
      </c>
      <c r="D40" s="7" t="n">
        <v>0.933</v>
      </c>
      <c r="E40" s="7" t="n">
        <v>0.84</v>
      </c>
      <c r="F40" s="7" t="n">
        <v>0.932</v>
      </c>
    </row>
    <row r="41" customFormat="false" ht="15" hidden="false" customHeight="true" outlineLevel="0" collapsed="false">
      <c r="A41" s="13" t="s">
        <v>101</v>
      </c>
      <c r="B41" s="4" t="n">
        <v>7</v>
      </c>
      <c r="C41" s="4" t="n">
        <v>0.047</v>
      </c>
      <c r="D41" s="4" t="n">
        <v>0.98</v>
      </c>
      <c r="E41" s="4" t="n">
        <v>0.933</v>
      </c>
      <c r="F41" s="4" t="n">
        <v>0.979</v>
      </c>
    </row>
    <row r="42" customFormat="false" ht="15" hidden="false" customHeight="true" outlineLevel="0" collapsed="false">
      <c r="A42" s="12" t="s">
        <v>102</v>
      </c>
      <c r="B42" s="7" t="n">
        <v>3</v>
      </c>
      <c r="C42" s="7" t="n">
        <v>0.02</v>
      </c>
      <c r="D42" s="7" t="n">
        <v>1</v>
      </c>
      <c r="E42" s="7" t="n">
        <v>0.98</v>
      </c>
      <c r="F42" s="7" t="n">
        <v>0.999</v>
      </c>
    </row>
    <row r="43" customFormat="false" ht="15" hidden="false" customHeight="true" outlineLevel="0" collapsed="false">
      <c r="A43" s="14" t="s">
        <v>92</v>
      </c>
      <c r="B43" s="14" t="n">
        <v>150</v>
      </c>
      <c r="C43" s="14" t="n">
        <v>1</v>
      </c>
      <c r="D43" s="14" t="s">
        <v>93</v>
      </c>
      <c r="E43" s="14" t="s">
        <v>93</v>
      </c>
      <c r="F43" s="14" t="s">
        <v>93</v>
      </c>
    </row>
    <row r="45" customFormat="false" ht="18" hidden="false" customHeight="true" outlineLevel="0" collapsed="false">
      <c r="A45" s="10" t="s">
        <v>103</v>
      </c>
      <c r="B45" s="10"/>
      <c r="C45" s="10"/>
      <c r="D45" s="10"/>
      <c r="E45" s="10"/>
      <c r="F45" s="10"/>
    </row>
    <row r="46" customFormat="false" ht="15.75" hidden="false" customHeight="true" outlineLevel="0" collapsed="false">
      <c r="A46" s="11" t="s">
        <v>81</v>
      </c>
      <c r="B46" s="11" t="s">
        <v>82</v>
      </c>
      <c r="C46" s="11" t="s">
        <v>83</v>
      </c>
      <c r="D46" s="11" t="s">
        <v>84</v>
      </c>
      <c r="E46" s="11" t="s">
        <v>85</v>
      </c>
      <c r="F46" s="11" t="s">
        <v>86</v>
      </c>
    </row>
    <row r="47" customFormat="false" ht="15" hidden="false" customHeight="true" outlineLevel="0" collapsed="false">
      <c r="A47" s="12" t="s">
        <v>98</v>
      </c>
      <c r="B47" s="7" t="n">
        <v>90</v>
      </c>
      <c r="C47" s="7" t="n">
        <v>0.6</v>
      </c>
      <c r="D47" s="7" t="n">
        <v>0.6</v>
      </c>
      <c r="E47" s="7" t="n">
        <v>0</v>
      </c>
      <c r="F47" s="7" t="n">
        <v>0.599</v>
      </c>
    </row>
    <row r="48" customFormat="false" ht="15" hidden="false" customHeight="true" outlineLevel="0" collapsed="false">
      <c r="A48" s="13" t="s">
        <v>99</v>
      </c>
      <c r="B48" s="4" t="n">
        <v>37</v>
      </c>
      <c r="C48" s="4" t="n">
        <v>0.247</v>
      </c>
      <c r="D48" s="4" t="n">
        <v>0.847</v>
      </c>
      <c r="E48" s="4" t="n">
        <v>0.6</v>
      </c>
      <c r="F48" s="4" t="n">
        <v>0.846</v>
      </c>
    </row>
    <row r="49" customFormat="false" ht="15" hidden="false" customHeight="true" outlineLevel="0" collapsed="false">
      <c r="A49" s="12" t="s">
        <v>100</v>
      </c>
      <c r="B49" s="7" t="n">
        <v>16</v>
      </c>
      <c r="C49" s="7" t="n">
        <v>0.107</v>
      </c>
      <c r="D49" s="7" t="n">
        <v>0.954</v>
      </c>
      <c r="E49" s="7" t="n">
        <v>0.847</v>
      </c>
      <c r="F49" s="7" t="n">
        <v>0.953</v>
      </c>
    </row>
    <row r="50" customFormat="false" ht="15" hidden="false" customHeight="true" outlineLevel="0" collapsed="false">
      <c r="A50" s="13" t="s">
        <v>101</v>
      </c>
      <c r="B50" s="4" t="n">
        <v>7</v>
      </c>
      <c r="C50" s="4" t="n">
        <v>0.047</v>
      </c>
      <c r="D50" s="4" t="n">
        <v>1.001</v>
      </c>
      <c r="E50" s="4" t="n">
        <v>0.954</v>
      </c>
      <c r="F50" s="4" t="n">
        <v>1</v>
      </c>
    </row>
    <row r="51" customFormat="false" ht="15" hidden="false" customHeight="true" outlineLevel="0" collapsed="false">
      <c r="A51" s="14" t="s">
        <v>92</v>
      </c>
      <c r="B51" s="14" t="n">
        <v>150</v>
      </c>
      <c r="C51" s="14" t="n">
        <v>1</v>
      </c>
      <c r="D51" s="14" t="s">
        <v>93</v>
      </c>
      <c r="E51" s="14" t="s">
        <v>93</v>
      </c>
      <c r="F51" s="14" t="s">
        <v>93</v>
      </c>
    </row>
    <row r="53" customFormat="false" ht="18" hidden="false" customHeight="true" outlineLevel="0" collapsed="false">
      <c r="A53" s="10" t="s">
        <v>104</v>
      </c>
      <c r="B53" s="10"/>
      <c r="C53" s="10"/>
      <c r="D53" s="10"/>
      <c r="E53" s="10"/>
      <c r="F53" s="10"/>
    </row>
    <row r="54" customFormat="false" ht="15.75" hidden="false" customHeight="true" outlineLevel="0" collapsed="false">
      <c r="A54" s="11" t="s">
        <v>81</v>
      </c>
      <c r="B54" s="11" t="s">
        <v>82</v>
      </c>
      <c r="C54" s="11" t="s">
        <v>83</v>
      </c>
      <c r="D54" s="11" t="s">
        <v>84</v>
      </c>
      <c r="E54" s="11" t="s">
        <v>85</v>
      </c>
      <c r="F54" s="11" t="s">
        <v>86</v>
      </c>
    </row>
    <row r="55" customFormat="false" ht="15" hidden="false" customHeight="true" outlineLevel="0" collapsed="false">
      <c r="A55" s="12" t="s">
        <v>105</v>
      </c>
      <c r="B55" s="7" t="n">
        <v>82</v>
      </c>
      <c r="C55" s="7" t="n">
        <v>0.547</v>
      </c>
      <c r="D55" s="7" t="n">
        <v>0.547</v>
      </c>
      <c r="E55" s="7" t="n">
        <v>0</v>
      </c>
      <c r="F55" s="7" t="n">
        <v>0.546</v>
      </c>
    </row>
    <row r="56" customFormat="false" ht="15" hidden="false" customHeight="true" outlineLevel="0" collapsed="false">
      <c r="A56" s="13" t="s">
        <v>106</v>
      </c>
      <c r="B56" s="4" t="n">
        <v>68</v>
      </c>
      <c r="C56" s="4" t="n">
        <v>0.453</v>
      </c>
      <c r="D56" s="4" t="n">
        <v>1</v>
      </c>
      <c r="E56" s="4" t="n">
        <v>0.547</v>
      </c>
      <c r="F56" s="4" t="n">
        <v>0.999</v>
      </c>
    </row>
    <row r="57" customFormat="false" ht="15" hidden="false" customHeight="true" outlineLevel="0" collapsed="false">
      <c r="A57" s="14" t="s">
        <v>92</v>
      </c>
      <c r="B57" s="14" t="n">
        <v>150</v>
      </c>
      <c r="C57" s="14" t="n">
        <v>1</v>
      </c>
      <c r="D57" s="14" t="s">
        <v>93</v>
      </c>
      <c r="E57" s="14" t="s">
        <v>93</v>
      </c>
      <c r="F57" s="14" t="s">
        <v>93</v>
      </c>
    </row>
    <row r="59" customFormat="false" ht="18" hidden="false" customHeight="true" outlineLevel="0" collapsed="false">
      <c r="A59" s="10" t="s">
        <v>107</v>
      </c>
      <c r="B59" s="10"/>
      <c r="C59" s="10"/>
      <c r="D59" s="10"/>
      <c r="E59" s="10"/>
      <c r="F59" s="10"/>
    </row>
    <row r="60" customFormat="false" ht="15.75" hidden="false" customHeight="true" outlineLevel="0" collapsed="false">
      <c r="A60" s="11" t="s">
        <v>81</v>
      </c>
      <c r="B60" s="11" t="s">
        <v>82</v>
      </c>
      <c r="C60" s="11" t="s">
        <v>83</v>
      </c>
      <c r="D60" s="11" t="s">
        <v>84</v>
      </c>
      <c r="E60" s="11" t="s">
        <v>85</v>
      </c>
      <c r="F60" s="11" t="s">
        <v>86</v>
      </c>
    </row>
    <row r="61" customFormat="false" ht="15" hidden="false" customHeight="true" outlineLevel="0" collapsed="false">
      <c r="A61" s="12" t="s">
        <v>20</v>
      </c>
      <c r="B61" s="7" t="n">
        <v>120</v>
      </c>
      <c r="C61" s="7" t="n">
        <v>0.8</v>
      </c>
      <c r="D61" s="7" t="n">
        <v>0.8</v>
      </c>
      <c r="E61" s="7" t="n">
        <v>0</v>
      </c>
      <c r="F61" s="7" t="n">
        <v>0.799</v>
      </c>
    </row>
    <row r="62" customFormat="false" ht="15" hidden="false" customHeight="true" outlineLevel="0" collapsed="false">
      <c r="A62" s="13" t="s">
        <v>25</v>
      </c>
      <c r="B62" s="4" t="n">
        <v>10</v>
      </c>
      <c r="C62" s="4" t="n">
        <v>0.067</v>
      </c>
      <c r="D62" s="4" t="n">
        <v>0.867</v>
      </c>
      <c r="E62" s="4" t="n">
        <v>0.8</v>
      </c>
      <c r="F62" s="4" t="n">
        <v>0.866</v>
      </c>
    </row>
    <row r="63" customFormat="false" ht="15" hidden="false" customHeight="true" outlineLevel="0" collapsed="false">
      <c r="A63" s="12" t="s">
        <v>45</v>
      </c>
      <c r="B63" s="7" t="n">
        <v>10</v>
      </c>
      <c r="C63" s="7" t="n">
        <v>0.067</v>
      </c>
      <c r="D63" s="7" t="n">
        <v>0.934</v>
      </c>
      <c r="E63" s="7" t="n">
        <v>0.867</v>
      </c>
      <c r="F63" s="7" t="n">
        <v>0.933</v>
      </c>
    </row>
    <row r="64" customFormat="false" ht="15" hidden="false" customHeight="true" outlineLevel="0" collapsed="false">
      <c r="A64" s="13" t="s">
        <v>108</v>
      </c>
      <c r="B64" s="4" t="n">
        <v>5</v>
      </c>
      <c r="C64" s="4" t="n">
        <v>0.033</v>
      </c>
      <c r="D64" s="4" t="n">
        <v>0.967</v>
      </c>
      <c r="E64" s="4" t="n">
        <v>0.934</v>
      </c>
      <c r="F64" s="4" t="n">
        <v>0.966</v>
      </c>
    </row>
    <row r="65" customFormat="false" ht="15" hidden="false" customHeight="true" outlineLevel="0" collapsed="false">
      <c r="A65" s="12" t="s">
        <v>109</v>
      </c>
      <c r="B65" s="7" t="n">
        <v>3</v>
      </c>
      <c r="C65" s="7" t="n">
        <v>0.02</v>
      </c>
      <c r="D65" s="7" t="n">
        <v>0.987</v>
      </c>
      <c r="E65" s="7" t="n">
        <v>0.967</v>
      </c>
      <c r="F65" s="7" t="n">
        <v>0.986</v>
      </c>
    </row>
    <row r="66" customFormat="false" ht="15" hidden="false" customHeight="true" outlineLevel="0" collapsed="false">
      <c r="A66" s="13" t="s">
        <v>110</v>
      </c>
      <c r="B66" s="4" t="n">
        <v>2</v>
      </c>
      <c r="C66" s="4" t="n">
        <v>0.013</v>
      </c>
      <c r="D66" s="4" t="n">
        <v>1</v>
      </c>
      <c r="E66" s="4" t="n">
        <v>0.987</v>
      </c>
      <c r="F66" s="4" t="n">
        <v>0.999</v>
      </c>
    </row>
    <row r="67" customFormat="false" ht="15" hidden="false" customHeight="true" outlineLevel="0" collapsed="false">
      <c r="A67" s="14" t="s">
        <v>92</v>
      </c>
      <c r="B67" s="14" t="n">
        <v>150</v>
      </c>
      <c r="C67" s="14" t="n">
        <v>1</v>
      </c>
      <c r="D67" s="14" t="s">
        <v>93</v>
      </c>
      <c r="E67" s="14" t="s">
        <v>93</v>
      </c>
      <c r="F67" s="14" t="s">
        <v>93</v>
      </c>
    </row>
    <row r="69" customFormat="false" ht="18" hidden="false" customHeight="true" outlineLevel="0" collapsed="false">
      <c r="A69" s="10" t="s">
        <v>111</v>
      </c>
      <c r="B69" s="10"/>
      <c r="C69" s="10"/>
      <c r="D69" s="10"/>
      <c r="E69" s="10"/>
      <c r="F69" s="10"/>
    </row>
    <row r="70" customFormat="false" ht="15.75" hidden="false" customHeight="true" outlineLevel="0" collapsed="false">
      <c r="A70" s="11" t="s">
        <v>81</v>
      </c>
      <c r="B70" s="11" t="s">
        <v>82</v>
      </c>
      <c r="C70" s="11" t="s">
        <v>83</v>
      </c>
      <c r="D70" s="11" t="s">
        <v>84</v>
      </c>
      <c r="E70" s="11" t="s">
        <v>85</v>
      </c>
      <c r="F70" s="11" t="s">
        <v>86</v>
      </c>
    </row>
    <row r="71" customFormat="false" ht="15" hidden="false" customHeight="true" outlineLevel="0" collapsed="false">
      <c r="A71" s="12" t="s">
        <v>19</v>
      </c>
      <c r="B71" s="7" t="n">
        <v>75</v>
      </c>
      <c r="C71" s="7" t="n">
        <v>0.5</v>
      </c>
      <c r="D71" s="7" t="n">
        <v>0.5</v>
      </c>
      <c r="E71" s="7" t="n">
        <v>0</v>
      </c>
      <c r="F71" s="7" t="n">
        <v>0.499</v>
      </c>
    </row>
    <row r="72" customFormat="false" ht="15" hidden="false" customHeight="true" outlineLevel="0" collapsed="false">
      <c r="A72" s="13" t="s">
        <v>112</v>
      </c>
      <c r="B72" s="4" t="n">
        <v>40</v>
      </c>
      <c r="C72" s="4" t="n">
        <v>0.267</v>
      </c>
      <c r="D72" s="4" t="n">
        <v>0.767</v>
      </c>
      <c r="E72" s="4" t="n">
        <v>0.5</v>
      </c>
      <c r="F72" s="4" t="n">
        <v>0.766</v>
      </c>
    </row>
    <row r="73" customFormat="false" ht="15" hidden="false" customHeight="true" outlineLevel="0" collapsed="false">
      <c r="A73" s="12" t="s">
        <v>42</v>
      </c>
      <c r="B73" s="7" t="n">
        <v>20</v>
      </c>
      <c r="C73" s="7" t="n">
        <v>0.133</v>
      </c>
      <c r="D73" s="7" t="n">
        <v>0.9</v>
      </c>
      <c r="E73" s="7" t="n">
        <v>0.767</v>
      </c>
      <c r="F73" s="7" t="n">
        <v>0.899</v>
      </c>
    </row>
    <row r="74" customFormat="false" ht="15" hidden="false" customHeight="true" outlineLevel="0" collapsed="false">
      <c r="A74" s="13" t="s">
        <v>113</v>
      </c>
      <c r="B74" s="4" t="n">
        <v>10</v>
      </c>
      <c r="C74" s="4" t="n">
        <v>0.067</v>
      </c>
      <c r="D74" s="4" t="n">
        <v>0.967</v>
      </c>
      <c r="E74" s="4" t="n">
        <v>0.9</v>
      </c>
      <c r="F74" s="4" t="n">
        <v>0.966</v>
      </c>
    </row>
    <row r="75" customFormat="false" ht="15" hidden="false" customHeight="true" outlineLevel="0" collapsed="false">
      <c r="A75" s="12" t="s">
        <v>114</v>
      </c>
      <c r="B75" s="7" t="n">
        <v>5</v>
      </c>
      <c r="C75" s="7" t="n">
        <v>0.033</v>
      </c>
      <c r="D75" s="7" t="n">
        <v>1</v>
      </c>
      <c r="E75" s="7" t="n">
        <v>0.967</v>
      </c>
      <c r="F75" s="7" t="n">
        <v>0.999</v>
      </c>
    </row>
    <row r="76" customFormat="false" ht="15" hidden="false" customHeight="true" outlineLevel="0" collapsed="false">
      <c r="A76" s="14" t="s">
        <v>92</v>
      </c>
      <c r="B76" s="14" t="n">
        <v>150</v>
      </c>
      <c r="C76" s="14" t="n">
        <v>1</v>
      </c>
      <c r="D76" s="14" t="s">
        <v>93</v>
      </c>
      <c r="E76" s="14" t="s">
        <v>93</v>
      </c>
      <c r="F76" s="14" t="s">
        <v>93</v>
      </c>
    </row>
    <row r="78" customFormat="false" ht="18" hidden="false" customHeight="true" outlineLevel="0" collapsed="false">
      <c r="A78" s="10" t="s">
        <v>115</v>
      </c>
      <c r="B78" s="10"/>
      <c r="C78" s="10"/>
      <c r="D78" s="10"/>
      <c r="E78" s="10"/>
      <c r="F78" s="10"/>
    </row>
    <row r="79" customFormat="false" ht="15.75" hidden="false" customHeight="true" outlineLevel="0" collapsed="false">
      <c r="A79" s="11" t="s">
        <v>81</v>
      </c>
      <c r="B79" s="11" t="s">
        <v>82</v>
      </c>
      <c r="C79" s="11" t="s">
        <v>83</v>
      </c>
      <c r="D79" s="11" t="s">
        <v>84</v>
      </c>
      <c r="E79" s="11" t="s">
        <v>85</v>
      </c>
      <c r="F79" s="11" t="s">
        <v>86</v>
      </c>
    </row>
    <row r="80" customFormat="false" ht="15" hidden="false" customHeight="true" outlineLevel="0" collapsed="false">
      <c r="A80" s="12" t="s">
        <v>26</v>
      </c>
      <c r="B80" s="7" t="n">
        <v>42</v>
      </c>
      <c r="C80" s="7" t="n">
        <v>0.28</v>
      </c>
      <c r="D80" s="7" t="n">
        <v>0.28</v>
      </c>
      <c r="E80" s="7" t="n">
        <v>0</v>
      </c>
      <c r="F80" s="7" t="n">
        <v>0.279</v>
      </c>
    </row>
    <row r="81" customFormat="false" ht="15" hidden="false" customHeight="true" outlineLevel="0" collapsed="false">
      <c r="A81" s="13" t="s">
        <v>22</v>
      </c>
      <c r="B81" s="4" t="n">
        <v>45</v>
      </c>
      <c r="C81" s="4" t="n">
        <v>0.3</v>
      </c>
      <c r="D81" s="4" t="n">
        <v>0.58</v>
      </c>
      <c r="E81" s="4" t="n">
        <v>0.28</v>
      </c>
      <c r="F81" s="4" t="n">
        <v>0.579</v>
      </c>
    </row>
    <row r="82" customFormat="false" ht="15" hidden="false" customHeight="true" outlineLevel="0" collapsed="false">
      <c r="A82" s="12" t="s">
        <v>35</v>
      </c>
      <c r="B82" s="7" t="n">
        <v>28</v>
      </c>
      <c r="C82" s="7" t="n">
        <v>0.187</v>
      </c>
      <c r="D82" s="7" t="n">
        <v>0.767</v>
      </c>
      <c r="E82" s="7" t="n">
        <v>0.58</v>
      </c>
      <c r="F82" s="7" t="n">
        <v>0.766</v>
      </c>
    </row>
    <row r="83" customFormat="false" ht="15" hidden="false" customHeight="true" outlineLevel="0" collapsed="false">
      <c r="A83" s="13" t="s">
        <v>72</v>
      </c>
      <c r="B83" s="4" t="n">
        <v>20</v>
      </c>
      <c r="C83" s="4" t="n">
        <v>0.133</v>
      </c>
      <c r="D83" s="4" t="n">
        <v>0.9</v>
      </c>
      <c r="E83" s="4" t="n">
        <v>0.767</v>
      </c>
      <c r="F83" s="4" t="n">
        <v>0.899</v>
      </c>
    </row>
    <row r="84" customFormat="false" ht="15" hidden="false" customHeight="true" outlineLevel="0" collapsed="false">
      <c r="A84" s="12" t="s">
        <v>91</v>
      </c>
      <c r="B84" s="7" t="n">
        <v>15</v>
      </c>
      <c r="C84" s="7" t="n">
        <v>0.1</v>
      </c>
      <c r="D84" s="7" t="n">
        <v>1</v>
      </c>
      <c r="E84" s="7" t="n">
        <v>0.9</v>
      </c>
      <c r="F84" s="7" t="n">
        <v>0.999</v>
      </c>
    </row>
    <row r="85" customFormat="false" ht="15" hidden="false" customHeight="true" outlineLevel="0" collapsed="false">
      <c r="A85" s="14" t="s">
        <v>92</v>
      </c>
      <c r="B85" s="14" t="n">
        <v>150</v>
      </c>
      <c r="C85" s="14" t="n">
        <v>1</v>
      </c>
      <c r="D85" s="14" t="s">
        <v>93</v>
      </c>
      <c r="E85" s="14" t="s">
        <v>93</v>
      </c>
      <c r="F85" s="14" t="s">
        <v>93</v>
      </c>
    </row>
  </sheetData>
  <mergeCells count="10">
    <mergeCell ref="A1:F1"/>
    <mergeCell ref="A3:F3"/>
    <mergeCell ref="A21:F21"/>
    <mergeCell ref="A29:F29"/>
    <mergeCell ref="A36:F36"/>
    <mergeCell ref="A45:F45"/>
    <mergeCell ref="A53:F53"/>
    <mergeCell ref="A59:F59"/>
    <mergeCell ref="A69:F69"/>
    <mergeCell ref="A78:F7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8"/>
    <col collapsed="false" customWidth="true" hidden="false" outlineLevel="0" max="3" min="3" style="1" width="9"/>
    <col collapsed="false" customWidth="true" hidden="false" outlineLevel="0" max="4" min="4" style="1" width="16"/>
    <col collapsed="false" customWidth="true" hidden="false" outlineLevel="0" max="7" min="5" style="1" width="8"/>
    <col collapsed="false" customWidth="true" hidden="false" outlineLevel="0" max="8" min="8" style="1" width="7"/>
    <col collapsed="false" customWidth="true" hidden="false" outlineLevel="0" max="9" min="9" style="1" width="9"/>
    <col collapsed="false" customWidth="true" hidden="false" outlineLevel="0" max="10" min="10" style="1" width="10"/>
    <col collapsed="false" customWidth="true" hidden="false" outlineLevel="0" max="11" min="11" style="1" width="8"/>
    <col collapsed="false" customWidth="true" hidden="false" outlineLevel="0" max="12" min="12" style="1" width="10"/>
    <col collapsed="false" customWidth="true" hidden="false" outlineLevel="0" max="14" min="13" style="1" width="12"/>
    <col collapsed="false" customWidth="true" hidden="false" outlineLevel="0" max="16" min="15" style="1" width="10"/>
  </cols>
  <sheetData>
    <row r="1" customFormat="false" ht="27.75" hidden="false" customHeight="true" outlineLevel="0" collapsed="false">
      <c r="A1" s="2" t="s">
        <v>116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8" hidden="false" customHeight="true" outlineLevel="0" collapsed="false">
      <c r="A2" s="15" t="s">
        <v>117</v>
      </c>
      <c r="B2" s="15"/>
      <c r="C2" s="15"/>
      <c r="D2" s="15"/>
      <c r="E2" s="15" t="s">
        <v>118</v>
      </c>
      <c r="F2" s="15"/>
      <c r="G2" s="15"/>
      <c r="H2" s="15"/>
      <c r="I2" s="15" t="s">
        <v>119</v>
      </c>
      <c r="J2" s="15"/>
      <c r="K2" s="15"/>
      <c r="L2" s="15"/>
      <c r="M2" s="15" t="s">
        <v>120</v>
      </c>
      <c r="N2" s="15"/>
      <c r="O2" s="15"/>
      <c r="P2" s="15"/>
    </row>
    <row r="3" customFormat="false" ht="36" hidden="false" customHeight="true" outlineLevel="0" collapsed="false">
      <c r="A3" s="3" t="s">
        <v>121</v>
      </c>
      <c r="B3" s="3" t="s">
        <v>122</v>
      </c>
      <c r="C3" s="3" t="s">
        <v>123</v>
      </c>
      <c r="D3" s="3" t="s">
        <v>6</v>
      </c>
      <c r="E3" s="3" t="s">
        <v>124</v>
      </c>
      <c r="F3" s="3" t="s">
        <v>125</v>
      </c>
      <c r="G3" s="3" t="s">
        <v>126</v>
      </c>
      <c r="H3" s="3" t="s">
        <v>127</v>
      </c>
      <c r="I3" s="3" t="s">
        <v>128</v>
      </c>
      <c r="J3" s="3" t="s">
        <v>129</v>
      </c>
      <c r="K3" s="3" t="s">
        <v>130</v>
      </c>
      <c r="L3" s="3" t="s">
        <v>131</v>
      </c>
      <c r="M3" s="3" t="s">
        <v>132</v>
      </c>
      <c r="N3" s="3" t="s">
        <v>133</v>
      </c>
      <c r="O3" s="3" t="s">
        <v>134</v>
      </c>
      <c r="P3" s="3" t="s">
        <v>135</v>
      </c>
    </row>
    <row r="4" customFormat="false" ht="15" hidden="false" customHeight="true" outlineLevel="0" collapsed="false">
      <c r="A4" s="7" t="n">
        <v>0.639</v>
      </c>
      <c r="B4" s="16" t="s">
        <v>57</v>
      </c>
      <c r="C4" s="7" t="n">
        <v>0.025</v>
      </c>
      <c r="D4" s="7" t="s">
        <v>17</v>
      </c>
      <c r="E4" s="7" t="n">
        <v>0.275</v>
      </c>
      <c r="F4" s="7" t="n">
        <v>1</v>
      </c>
      <c r="G4" s="7" t="n">
        <v>0.223</v>
      </c>
      <c r="H4" s="7" t="n">
        <v>1</v>
      </c>
      <c r="I4" s="7" t="n">
        <v>0.736</v>
      </c>
      <c r="J4" s="7" t="s">
        <v>16</v>
      </c>
      <c r="K4" s="7" t="n">
        <v>0.677</v>
      </c>
      <c r="L4" s="7" t="s">
        <v>136</v>
      </c>
      <c r="M4" s="7" t="s">
        <v>137</v>
      </c>
      <c r="N4" s="7" t="s">
        <v>138</v>
      </c>
      <c r="O4" s="7" t="n">
        <v>0</v>
      </c>
      <c r="P4" s="17" t="n">
        <v>35</v>
      </c>
    </row>
    <row r="5" customFormat="false" ht="15" hidden="false" customHeight="true" outlineLevel="0" collapsed="false">
      <c r="A5" s="4" t="n">
        <v>0.892</v>
      </c>
      <c r="B5" s="18" t="s">
        <v>46</v>
      </c>
      <c r="C5" s="4" t="n">
        <v>0.087</v>
      </c>
      <c r="D5" s="4" t="s">
        <v>17</v>
      </c>
      <c r="E5" s="4" t="n">
        <v>0.422</v>
      </c>
      <c r="F5" s="4" t="n">
        <v>1</v>
      </c>
      <c r="G5" s="4" t="n">
        <v>0.03</v>
      </c>
      <c r="H5" s="4" t="n">
        <v>1</v>
      </c>
      <c r="I5" s="4" t="n">
        <v>0.219</v>
      </c>
      <c r="J5" s="4" t="s">
        <v>28</v>
      </c>
      <c r="K5" s="4" t="n">
        <v>0.505</v>
      </c>
      <c r="L5" s="4" t="s">
        <v>18</v>
      </c>
      <c r="M5" s="4" t="s">
        <v>138</v>
      </c>
      <c r="N5" s="4" t="s">
        <v>139</v>
      </c>
      <c r="O5" s="4" t="n">
        <v>2</v>
      </c>
      <c r="P5" s="19" t="n">
        <v>15</v>
      </c>
    </row>
    <row r="6" customFormat="false" ht="15" hidden="false" customHeight="true" outlineLevel="0" collapsed="false">
      <c r="A6" s="7" t="n">
        <v>0.027</v>
      </c>
      <c r="B6" s="16" t="s">
        <v>14</v>
      </c>
      <c r="C6" s="7" t="n">
        <v>0.199</v>
      </c>
      <c r="D6" s="7" t="s">
        <v>17</v>
      </c>
      <c r="E6" s="7" t="n">
        <v>0.65</v>
      </c>
      <c r="F6" s="7" t="n">
        <v>2</v>
      </c>
      <c r="G6" s="7" t="n">
        <v>0.545</v>
      </c>
      <c r="H6" s="7" t="n">
        <v>1</v>
      </c>
      <c r="I6" s="7" t="n">
        <v>0.22</v>
      </c>
      <c r="J6" s="7" t="s">
        <v>28</v>
      </c>
      <c r="K6" s="7" t="n">
        <v>0.589</v>
      </c>
      <c r="L6" s="7" t="s">
        <v>136</v>
      </c>
      <c r="M6" s="7" t="s">
        <v>139</v>
      </c>
      <c r="N6" s="7" t="s">
        <v>140</v>
      </c>
      <c r="O6" s="7" t="n">
        <v>2</v>
      </c>
      <c r="P6" s="17" t="n">
        <v>10</v>
      </c>
    </row>
    <row r="7" customFormat="false" ht="15" hidden="false" customHeight="true" outlineLevel="0" collapsed="false">
      <c r="A7" s="4" t="n">
        <v>0.809</v>
      </c>
      <c r="B7" s="18" t="s">
        <v>66</v>
      </c>
      <c r="C7" s="4" t="n">
        <v>0.006</v>
      </c>
      <c r="D7" s="4" t="s">
        <v>17</v>
      </c>
      <c r="E7" s="4" t="n">
        <v>0.806</v>
      </c>
      <c r="F7" s="4" t="n">
        <v>2</v>
      </c>
      <c r="G7" s="4" t="n">
        <v>0.698</v>
      </c>
      <c r="H7" s="4" t="n">
        <v>2</v>
      </c>
      <c r="I7" s="4" t="n">
        <v>0.34</v>
      </c>
      <c r="J7" s="4" t="s">
        <v>28</v>
      </c>
      <c r="K7" s="4" t="n">
        <v>0.155</v>
      </c>
      <c r="L7" s="4" t="s">
        <v>18</v>
      </c>
      <c r="M7" s="4" t="s">
        <v>140</v>
      </c>
      <c r="N7" s="4" t="s">
        <v>141</v>
      </c>
      <c r="O7" s="4" t="n">
        <v>2</v>
      </c>
      <c r="P7" s="19" t="n">
        <v>110</v>
      </c>
    </row>
    <row r="8" customFormat="false" ht="15" hidden="false" customHeight="true" outlineLevel="0" collapsed="false">
      <c r="A8" s="7" t="n">
        <v>0.957</v>
      </c>
      <c r="B8" s="16" t="s">
        <v>88</v>
      </c>
      <c r="C8" s="7" t="n">
        <v>0.337</v>
      </c>
      <c r="D8" s="7" t="s">
        <v>17</v>
      </c>
      <c r="E8" s="7" t="n">
        <v>0.093</v>
      </c>
      <c r="F8" s="7" t="n">
        <v>1</v>
      </c>
      <c r="G8" s="7" t="n">
        <v>0.097</v>
      </c>
      <c r="H8" s="7" t="n">
        <v>1</v>
      </c>
      <c r="I8" s="7" t="n">
        <v>0.847</v>
      </c>
      <c r="J8" s="7" t="s">
        <v>16</v>
      </c>
      <c r="K8" s="7" t="n">
        <v>0.604</v>
      </c>
      <c r="L8" s="7" t="s">
        <v>136</v>
      </c>
      <c r="M8" s="7" t="s">
        <v>141</v>
      </c>
      <c r="N8" s="7" t="s">
        <v>142</v>
      </c>
      <c r="O8" s="20" t="n">
        <v>9</v>
      </c>
      <c r="P8" s="17" t="n">
        <v>10</v>
      </c>
    </row>
    <row r="9" customFormat="false" ht="15" hidden="false" customHeight="true" outlineLevel="0" collapsed="false">
      <c r="A9" s="4" t="n">
        <v>0.807</v>
      </c>
      <c r="B9" s="18" t="s">
        <v>66</v>
      </c>
      <c r="C9" s="4" t="n">
        <v>0.73</v>
      </c>
      <c r="D9" s="4" t="s">
        <v>29</v>
      </c>
      <c r="E9" s="4" t="n">
        <v>0.536</v>
      </c>
      <c r="F9" s="4" t="n">
        <v>1</v>
      </c>
      <c r="G9" s="4" t="n">
        <v>0.973</v>
      </c>
      <c r="H9" s="4" t="n">
        <v>4</v>
      </c>
      <c r="I9" s="4" t="n">
        <v>0.379</v>
      </c>
      <c r="J9" s="4" t="s">
        <v>28</v>
      </c>
      <c r="K9" s="4" t="n">
        <v>0.552</v>
      </c>
      <c r="L9" s="4" t="s">
        <v>136</v>
      </c>
      <c r="M9" s="4" t="s">
        <v>142</v>
      </c>
      <c r="N9" s="4" t="s">
        <v>143</v>
      </c>
      <c r="O9" s="21" t="n">
        <v>9</v>
      </c>
      <c r="P9" s="19" t="n">
        <v>220</v>
      </c>
    </row>
    <row r="10" customFormat="false" ht="15" hidden="false" customHeight="true" outlineLevel="0" collapsed="false">
      <c r="A10" s="7" t="n">
        <v>0.829</v>
      </c>
      <c r="B10" s="16" t="s">
        <v>54</v>
      </c>
      <c r="C10" s="7" t="n">
        <v>0.619</v>
      </c>
      <c r="D10" s="7" t="s">
        <v>29</v>
      </c>
      <c r="E10" s="7" t="n">
        <v>0.862</v>
      </c>
      <c r="F10" s="7" t="n">
        <v>3</v>
      </c>
      <c r="G10" s="7" t="n">
        <v>0.577</v>
      </c>
      <c r="H10" s="7" t="n">
        <v>1</v>
      </c>
      <c r="I10" s="7" t="n">
        <v>0.705</v>
      </c>
      <c r="J10" s="7" t="s">
        <v>16</v>
      </c>
      <c r="K10" s="7" t="n">
        <v>0.046</v>
      </c>
      <c r="L10" s="7" t="s">
        <v>18</v>
      </c>
      <c r="M10" s="7" t="s">
        <v>143</v>
      </c>
      <c r="N10" s="7" t="s">
        <v>144</v>
      </c>
      <c r="O10" s="20" t="n">
        <v>22</v>
      </c>
      <c r="P10" s="17" t="n">
        <v>45</v>
      </c>
    </row>
    <row r="11" customFormat="false" ht="15" hidden="false" customHeight="true" outlineLevel="0" collapsed="false">
      <c r="A11" s="4" t="n">
        <v>0.228</v>
      </c>
      <c r="B11" s="18" t="s">
        <v>14</v>
      </c>
      <c r="C11" s="4" t="n">
        <v>0.289</v>
      </c>
      <c r="D11" s="4" t="s">
        <v>17</v>
      </c>
      <c r="E11" s="4" t="n">
        <v>0.08</v>
      </c>
      <c r="F11" s="4" t="n">
        <v>1</v>
      </c>
      <c r="G11" s="4" t="n">
        <v>0.233</v>
      </c>
      <c r="H11" s="4" t="n">
        <v>1</v>
      </c>
      <c r="I11" s="4" t="n">
        <v>0.101</v>
      </c>
      <c r="J11" s="4" t="s">
        <v>28</v>
      </c>
      <c r="K11" s="4" t="n">
        <v>0.278</v>
      </c>
      <c r="L11" s="4" t="s">
        <v>18</v>
      </c>
      <c r="M11" s="4" t="s">
        <v>144</v>
      </c>
      <c r="N11" s="4" t="s">
        <v>145</v>
      </c>
      <c r="O11" s="21" t="n">
        <v>25</v>
      </c>
      <c r="P11" s="19" t="n">
        <v>10</v>
      </c>
    </row>
    <row r="12" customFormat="false" ht="15" hidden="false" customHeight="true" outlineLevel="0" collapsed="false">
      <c r="A12" s="7" t="n">
        <v>0.636</v>
      </c>
      <c r="B12" s="16" t="s">
        <v>57</v>
      </c>
      <c r="C12" s="7" t="n">
        <v>0.365</v>
      </c>
      <c r="D12" s="7" t="s">
        <v>17</v>
      </c>
      <c r="E12" s="7" t="n">
        <v>0.37</v>
      </c>
      <c r="F12" s="7" t="n">
        <v>1</v>
      </c>
      <c r="G12" s="7" t="n">
        <v>0.21</v>
      </c>
      <c r="H12" s="7" t="n">
        <v>1</v>
      </c>
      <c r="I12" s="7" t="n">
        <v>0.267</v>
      </c>
      <c r="J12" s="7" t="s">
        <v>28</v>
      </c>
      <c r="K12" s="7" t="n">
        <v>0.937</v>
      </c>
      <c r="L12" s="7" t="s">
        <v>136</v>
      </c>
      <c r="M12" s="7" t="s">
        <v>145</v>
      </c>
      <c r="N12" s="7" t="s">
        <v>146</v>
      </c>
      <c r="O12" s="20" t="n">
        <v>26</v>
      </c>
      <c r="P12" s="17" t="n">
        <v>35</v>
      </c>
    </row>
    <row r="13" customFormat="false" ht="15" hidden="false" customHeight="true" outlineLevel="0" collapsed="false">
      <c r="A13" s="4" t="n">
        <v>0.648</v>
      </c>
      <c r="B13" s="18" t="s">
        <v>57</v>
      </c>
      <c r="C13" s="4" t="n">
        <v>0.609</v>
      </c>
      <c r="D13" s="4" t="s">
        <v>29</v>
      </c>
      <c r="E13" s="4" t="n">
        <v>0.171</v>
      </c>
      <c r="F13" s="4" t="n">
        <v>1</v>
      </c>
      <c r="G13" s="4" t="n">
        <v>0.729</v>
      </c>
      <c r="H13" s="4" t="n">
        <v>2</v>
      </c>
      <c r="I13" s="4" t="n">
        <v>0.163</v>
      </c>
      <c r="J13" s="4" t="s">
        <v>28</v>
      </c>
      <c r="K13" s="4" t="n">
        <v>0.379</v>
      </c>
      <c r="L13" s="4" t="s">
        <v>18</v>
      </c>
      <c r="M13" s="4" t="s">
        <v>146</v>
      </c>
      <c r="N13" s="4" t="s">
        <v>147</v>
      </c>
      <c r="O13" s="21" t="n">
        <v>28</v>
      </c>
      <c r="P13" s="19" t="n">
        <v>70</v>
      </c>
    </row>
    <row r="14" customFormat="false" ht="15" hidden="false" customHeight="true" outlineLevel="0" collapsed="false">
      <c r="A14" s="7" t="n">
        <v>0.99</v>
      </c>
      <c r="B14" s="16" t="s">
        <v>89</v>
      </c>
      <c r="C14" s="7" t="n">
        <v>0.64</v>
      </c>
      <c r="D14" s="7" t="s">
        <v>29</v>
      </c>
      <c r="E14" s="7" t="n">
        <v>0.557</v>
      </c>
      <c r="F14" s="7" t="n">
        <v>1</v>
      </c>
      <c r="G14" s="7" t="n">
        <v>0.685</v>
      </c>
      <c r="H14" s="7" t="n">
        <v>2</v>
      </c>
      <c r="I14" s="7" t="n">
        <v>0.843</v>
      </c>
      <c r="J14" s="7" t="s">
        <v>16</v>
      </c>
      <c r="K14" s="7" t="n">
        <v>0.776</v>
      </c>
      <c r="L14" s="7" t="s">
        <v>136</v>
      </c>
      <c r="M14" s="7" t="s">
        <v>147</v>
      </c>
      <c r="N14" s="7" t="s">
        <v>148</v>
      </c>
      <c r="O14" s="20" t="n">
        <v>33</v>
      </c>
      <c r="P14" s="17" t="n">
        <v>20</v>
      </c>
    </row>
    <row r="15" customFormat="false" ht="15" hidden="false" customHeight="true" outlineLevel="0" collapsed="false">
      <c r="A15" s="4" t="n">
        <v>0.229</v>
      </c>
      <c r="B15" s="18" t="s">
        <v>14</v>
      </c>
      <c r="C15" s="4" t="n">
        <v>0.032</v>
      </c>
      <c r="D15" s="4" t="s">
        <v>17</v>
      </c>
      <c r="E15" s="4" t="n">
        <v>0.315</v>
      </c>
      <c r="F15" s="4" t="n">
        <v>1</v>
      </c>
      <c r="G15" s="4" t="n">
        <v>0.268</v>
      </c>
      <c r="H15" s="4" t="n">
        <v>1</v>
      </c>
      <c r="I15" s="4" t="n">
        <v>0.211</v>
      </c>
      <c r="J15" s="4" t="s">
        <v>28</v>
      </c>
      <c r="K15" s="4" t="n">
        <v>0.943</v>
      </c>
      <c r="L15" s="4" t="s">
        <v>136</v>
      </c>
      <c r="M15" s="4" t="s">
        <v>148</v>
      </c>
      <c r="N15" s="4" t="s">
        <v>149</v>
      </c>
      <c r="O15" s="21" t="n">
        <v>34</v>
      </c>
      <c r="P15" s="19" t="n">
        <v>10</v>
      </c>
    </row>
    <row r="16" customFormat="false" ht="15" hidden="false" customHeight="true" outlineLevel="0" collapsed="false">
      <c r="A16" s="7" t="n">
        <v>0.876</v>
      </c>
      <c r="B16" s="16" t="s">
        <v>46</v>
      </c>
      <c r="C16" s="7" t="n">
        <v>0.315</v>
      </c>
      <c r="D16" s="7" t="s">
        <v>17</v>
      </c>
      <c r="E16" s="7" t="n">
        <v>0.655</v>
      </c>
      <c r="F16" s="7" t="n">
        <v>2</v>
      </c>
      <c r="G16" s="7" t="n">
        <v>0.396</v>
      </c>
      <c r="H16" s="7" t="n">
        <v>1</v>
      </c>
      <c r="I16" s="7" t="n">
        <v>0.915</v>
      </c>
      <c r="J16" s="7" t="s">
        <v>38</v>
      </c>
      <c r="K16" s="7" t="n">
        <v>0.459</v>
      </c>
      <c r="L16" s="7" t="s">
        <v>18</v>
      </c>
      <c r="M16" s="7" t="s">
        <v>149</v>
      </c>
      <c r="N16" s="7" t="s">
        <v>150</v>
      </c>
      <c r="O16" s="20" t="n">
        <v>34</v>
      </c>
      <c r="P16" s="17" t="n">
        <v>15</v>
      </c>
    </row>
    <row r="17" customFormat="false" ht="15" hidden="false" customHeight="true" outlineLevel="0" collapsed="false">
      <c r="A17" s="4" t="n">
        <v>0.265</v>
      </c>
      <c r="B17" s="18" t="s">
        <v>14</v>
      </c>
      <c r="C17" s="4" t="n">
        <v>0.247</v>
      </c>
      <c r="D17" s="4" t="s">
        <v>17</v>
      </c>
      <c r="E17" s="4" t="n">
        <v>0.561</v>
      </c>
      <c r="F17" s="4" t="n">
        <v>1</v>
      </c>
      <c r="G17" s="4" t="n">
        <v>0.263</v>
      </c>
      <c r="H17" s="4" t="n">
        <v>1</v>
      </c>
      <c r="I17" s="4" t="n">
        <v>0.585</v>
      </c>
      <c r="J17" s="4" t="s">
        <v>16</v>
      </c>
      <c r="K17" s="4" t="n">
        <v>0.898</v>
      </c>
      <c r="L17" s="4" t="s">
        <v>136</v>
      </c>
      <c r="M17" s="4" t="s">
        <v>150</v>
      </c>
      <c r="N17" s="4" t="s">
        <v>151</v>
      </c>
      <c r="O17" s="21" t="n">
        <v>35</v>
      </c>
      <c r="P17" s="19" t="n">
        <v>10</v>
      </c>
    </row>
    <row r="18" customFormat="false" ht="15" hidden="false" customHeight="true" outlineLevel="0" collapsed="false">
      <c r="A18" s="7" t="n">
        <v>0.399</v>
      </c>
      <c r="B18" s="16" t="s">
        <v>36</v>
      </c>
      <c r="C18" s="7" t="n">
        <v>0.219</v>
      </c>
      <c r="D18" s="7" t="s">
        <v>17</v>
      </c>
      <c r="E18" s="7" t="n">
        <v>0.998</v>
      </c>
      <c r="F18" s="7" t="n">
        <v>5</v>
      </c>
      <c r="G18" s="7" t="n">
        <v>0.51</v>
      </c>
      <c r="H18" s="7" t="n">
        <v>1</v>
      </c>
      <c r="I18" s="7" t="n">
        <v>0.091</v>
      </c>
      <c r="J18" s="7" t="s">
        <v>28</v>
      </c>
      <c r="K18" s="7" t="n">
        <v>0.047</v>
      </c>
      <c r="L18" s="7" t="s">
        <v>18</v>
      </c>
      <c r="M18" s="7" t="s">
        <v>151</v>
      </c>
      <c r="N18" s="7" t="s">
        <v>152</v>
      </c>
      <c r="O18" s="20" t="n">
        <v>32</v>
      </c>
      <c r="P18" s="17" t="n">
        <v>5</v>
      </c>
    </row>
    <row r="19" customFormat="false" ht="15" hidden="false" customHeight="true" outlineLevel="0" collapsed="false">
      <c r="A19" s="4" t="n">
        <v>0.11</v>
      </c>
      <c r="B19" s="18" t="s">
        <v>14</v>
      </c>
      <c r="C19" s="4" t="n">
        <v>0.627</v>
      </c>
      <c r="D19" s="4" t="s">
        <v>29</v>
      </c>
      <c r="E19" s="4" t="n">
        <v>0.792</v>
      </c>
      <c r="F19" s="4" t="n">
        <v>2</v>
      </c>
      <c r="G19" s="4" t="n">
        <v>0.422</v>
      </c>
      <c r="H19" s="4" t="n">
        <v>1</v>
      </c>
      <c r="I19" s="4" t="n">
        <v>0.064</v>
      </c>
      <c r="J19" s="4" t="s">
        <v>28</v>
      </c>
      <c r="K19" s="4" t="n">
        <v>0.382</v>
      </c>
      <c r="L19" s="4" t="s">
        <v>18</v>
      </c>
      <c r="M19" s="4" t="s">
        <v>152</v>
      </c>
      <c r="N19" s="4" t="s">
        <v>153</v>
      </c>
      <c r="O19" s="21" t="n">
        <v>31</v>
      </c>
      <c r="P19" s="19" t="n">
        <v>10</v>
      </c>
    </row>
    <row r="20" customFormat="false" ht="15" hidden="false" customHeight="true" outlineLevel="0" collapsed="false">
      <c r="A20" s="7" t="n">
        <v>0.996</v>
      </c>
      <c r="B20" s="16" t="s">
        <v>89</v>
      </c>
      <c r="C20" s="7" t="n">
        <v>0.529</v>
      </c>
      <c r="D20" s="7" t="s">
        <v>29</v>
      </c>
      <c r="E20" s="7" t="n">
        <v>0.971</v>
      </c>
      <c r="F20" s="7" t="n">
        <v>4</v>
      </c>
      <c r="G20" s="7" t="n">
        <v>0.861</v>
      </c>
      <c r="H20" s="7" t="n">
        <v>3</v>
      </c>
      <c r="I20" s="7" t="n">
        <v>0.011</v>
      </c>
      <c r="J20" s="7" t="s">
        <v>28</v>
      </c>
      <c r="K20" s="7" t="n">
        <v>0.721</v>
      </c>
      <c r="L20" s="7" t="s">
        <v>136</v>
      </c>
      <c r="M20" s="7" t="s">
        <v>153</v>
      </c>
      <c r="N20" s="7" t="s">
        <v>154</v>
      </c>
      <c r="O20" s="20" t="n">
        <v>29</v>
      </c>
      <c r="P20" s="17" t="n">
        <v>30</v>
      </c>
    </row>
    <row r="21" customFormat="false" ht="15" hidden="false" customHeight="true" outlineLevel="0" collapsed="false">
      <c r="A21" s="4" t="n">
        <v>0.682</v>
      </c>
      <c r="B21" s="18" t="s">
        <v>57</v>
      </c>
      <c r="C21" s="4" t="n">
        <v>0.537</v>
      </c>
      <c r="D21" s="4" t="s">
        <v>29</v>
      </c>
      <c r="E21" s="4" t="n">
        <v>0.267</v>
      </c>
      <c r="F21" s="4" t="n">
        <v>1</v>
      </c>
      <c r="G21" s="4" t="n">
        <v>0.641</v>
      </c>
      <c r="H21" s="4" t="n">
        <v>2</v>
      </c>
      <c r="I21" s="4" t="n">
        <v>0.112</v>
      </c>
      <c r="J21" s="4" t="s">
        <v>28</v>
      </c>
      <c r="K21" s="4" t="n">
        <v>0.435</v>
      </c>
      <c r="L21" s="4" t="s">
        <v>18</v>
      </c>
      <c r="M21" s="4" t="s">
        <v>154</v>
      </c>
      <c r="N21" s="4" t="s">
        <v>155</v>
      </c>
      <c r="O21" s="21" t="n">
        <v>31</v>
      </c>
      <c r="P21" s="19" t="n">
        <v>70</v>
      </c>
    </row>
    <row r="22" customFormat="false" ht="15" hidden="false" customHeight="true" outlineLevel="0" collapsed="false">
      <c r="A22" s="7" t="n">
        <v>0.454</v>
      </c>
      <c r="B22" s="16" t="s">
        <v>23</v>
      </c>
      <c r="C22" s="7" t="n">
        <v>0.954</v>
      </c>
      <c r="D22" s="7" t="s">
        <v>95</v>
      </c>
      <c r="E22" s="7" t="n">
        <v>0.876</v>
      </c>
      <c r="F22" s="7" t="n">
        <v>3</v>
      </c>
      <c r="G22" s="7" t="n">
        <v>0.263</v>
      </c>
      <c r="H22" s="7" t="n">
        <v>1</v>
      </c>
      <c r="I22" s="7" t="n">
        <v>0.501</v>
      </c>
      <c r="J22" s="7" t="s">
        <v>28</v>
      </c>
      <c r="K22" s="7" t="n">
        <v>0.179</v>
      </c>
      <c r="L22" s="7" t="s">
        <v>18</v>
      </c>
      <c r="M22" s="7" t="s">
        <v>155</v>
      </c>
      <c r="N22" s="7" t="s">
        <v>156</v>
      </c>
      <c r="O22" s="20" t="n">
        <v>34</v>
      </c>
      <c r="P22" s="17" t="n">
        <v>5</v>
      </c>
    </row>
    <row r="23" customFormat="false" ht="15" hidden="false" customHeight="true" outlineLevel="0" collapsed="false">
      <c r="A23" s="4" t="n">
        <v>0.913</v>
      </c>
      <c r="B23" s="18" t="s">
        <v>87</v>
      </c>
      <c r="C23" s="4" t="n">
        <v>0.871</v>
      </c>
      <c r="D23" s="4" t="s">
        <v>70</v>
      </c>
      <c r="E23" s="4" t="n">
        <v>0.298</v>
      </c>
      <c r="F23" s="4" t="n">
        <v>1</v>
      </c>
      <c r="G23" s="4" t="n">
        <v>0.639</v>
      </c>
      <c r="H23" s="4" t="n">
        <v>2</v>
      </c>
      <c r="I23" s="4" t="n">
        <v>0.609</v>
      </c>
      <c r="J23" s="4" t="s">
        <v>16</v>
      </c>
      <c r="K23" s="4" t="n">
        <v>0.153</v>
      </c>
      <c r="L23" s="4" t="s">
        <v>18</v>
      </c>
      <c r="M23" s="4" t="s">
        <v>156</v>
      </c>
      <c r="N23" s="4" t="s">
        <v>157</v>
      </c>
      <c r="O23" s="21" t="n">
        <v>35</v>
      </c>
      <c r="P23" s="19" t="n">
        <v>30</v>
      </c>
    </row>
    <row r="24" customFormat="false" ht="15" hidden="false" customHeight="true" outlineLevel="0" collapsed="false">
      <c r="A24" s="7" t="n">
        <v>0.763</v>
      </c>
      <c r="B24" s="16" t="s">
        <v>66</v>
      </c>
      <c r="C24" s="7" t="n">
        <v>0.539</v>
      </c>
      <c r="D24" s="7" t="s">
        <v>29</v>
      </c>
      <c r="E24" s="7" t="n">
        <v>0.779</v>
      </c>
      <c r="F24" s="7" t="n">
        <v>2</v>
      </c>
      <c r="G24" s="7" t="n">
        <v>0.53</v>
      </c>
      <c r="H24" s="7" t="n">
        <v>1</v>
      </c>
      <c r="I24" s="7" t="n">
        <v>0.001</v>
      </c>
      <c r="J24" s="7" t="s">
        <v>28</v>
      </c>
      <c r="K24" s="7" t="n">
        <v>0.324</v>
      </c>
      <c r="L24" s="7" t="s">
        <v>18</v>
      </c>
      <c r="M24" s="7" t="s">
        <v>157</v>
      </c>
      <c r="N24" s="7" t="s">
        <v>158</v>
      </c>
      <c r="O24" s="20" t="n">
        <v>37</v>
      </c>
      <c r="P24" s="17" t="n">
        <v>55</v>
      </c>
    </row>
    <row r="25" customFormat="false" ht="15" hidden="false" customHeight="true" outlineLevel="0" collapsed="false">
      <c r="A25" s="4" t="n">
        <v>0.019</v>
      </c>
      <c r="B25" s="18" t="s">
        <v>14</v>
      </c>
      <c r="C25" s="4" t="n">
        <v>0.929</v>
      </c>
      <c r="D25" s="4" t="s">
        <v>95</v>
      </c>
      <c r="E25" s="4" t="n">
        <v>0.879</v>
      </c>
      <c r="F25" s="4" t="n">
        <v>3</v>
      </c>
      <c r="G25" s="4" t="n">
        <v>0.832</v>
      </c>
      <c r="H25" s="4" t="n">
        <v>2</v>
      </c>
      <c r="I25" s="4" t="n">
        <v>0.308</v>
      </c>
      <c r="J25" s="4" t="s">
        <v>28</v>
      </c>
      <c r="K25" s="4" t="n">
        <v>0.058</v>
      </c>
      <c r="L25" s="4" t="s">
        <v>18</v>
      </c>
      <c r="M25" s="4" t="s">
        <v>158</v>
      </c>
      <c r="N25" s="4" t="s">
        <v>159</v>
      </c>
      <c r="O25" s="21" t="n">
        <v>38</v>
      </c>
      <c r="P25" s="19" t="n">
        <v>20</v>
      </c>
    </row>
    <row r="26" customFormat="false" ht="15" hidden="false" customHeight="true" outlineLevel="0" collapsed="false">
      <c r="A26" s="7" t="n">
        <v>0.878</v>
      </c>
      <c r="B26" s="16" t="s">
        <v>46</v>
      </c>
      <c r="C26" s="7" t="n">
        <v>0.947</v>
      </c>
      <c r="D26" s="7" t="s">
        <v>95</v>
      </c>
      <c r="E26" s="7" t="n">
        <v>0.086</v>
      </c>
      <c r="F26" s="7" t="n">
        <v>1</v>
      </c>
      <c r="G26" s="7" t="n">
        <v>0.486</v>
      </c>
      <c r="H26" s="7" t="n">
        <v>1</v>
      </c>
      <c r="I26" s="7" t="n">
        <v>0.069</v>
      </c>
      <c r="J26" s="7" t="s">
        <v>28</v>
      </c>
      <c r="K26" s="7" t="n">
        <v>0.761</v>
      </c>
      <c r="L26" s="7" t="s">
        <v>136</v>
      </c>
      <c r="M26" s="7" t="s">
        <v>159</v>
      </c>
      <c r="N26" s="7" t="s">
        <v>160</v>
      </c>
      <c r="O26" s="20" t="n">
        <v>41</v>
      </c>
      <c r="P26" s="17" t="n">
        <v>15</v>
      </c>
    </row>
    <row r="27" customFormat="false" ht="15" hidden="false" customHeight="true" outlineLevel="0" collapsed="false">
      <c r="A27" s="4" t="n">
        <v>0.766</v>
      </c>
      <c r="B27" s="18" t="s">
        <v>66</v>
      </c>
      <c r="C27" s="4" t="n">
        <v>0.128</v>
      </c>
      <c r="D27" s="4" t="s">
        <v>17</v>
      </c>
      <c r="E27" s="4" t="n">
        <v>0.475</v>
      </c>
      <c r="F27" s="4" t="n">
        <v>1</v>
      </c>
      <c r="G27" s="4" t="n">
        <v>0.55</v>
      </c>
      <c r="H27" s="4" t="n">
        <v>1</v>
      </c>
      <c r="I27" s="4" t="n">
        <v>0.265</v>
      </c>
      <c r="J27" s="4" t="s">
        <v>28</v>
      </c>
      <c r="K27" s="4" t="n">
        <v>0.872</v>
      </c>
      <c r="L27" s="4" t="s">
        <v>136</v>
      </c>
      <c r="M27" s="4" t="s">
        <v>160</v>
      </c>
      <c r="N27" s="4" t="s">
        <v>161</v>
      </c>
      <c r="O27" s="21" t="n">
        <v>42</v>
      </c>
      <c r="P27" s="19" t="n">
        <v>55</v>
      </c>
    </row>
    <row r="28" customFormat="false" ht="15" hidden="false" customHeight="true" outlineLevel="0" collapsed="false">
      <c r="A28" s="7" t="n">
        <v>0.423</v>
      </c>
      <c r="B28" s="16" t="s">
        <v>36</v>
      </c>
      <c r="C28" s="7" t="n">
        <v>0.212</v>
      </c>
      <c r="D28" s="7" t="s">
        <v>17</v>
      </c>
      <c r="E28" s="7" t="n">
        <v>0.539</v>
      </c>
      <c r="F28" s="7" t="n">
        <v>1</v>
      </c>
      <c r="G28" s="7" t="n">
        <v>0.73</v>
      </c>
      <c r="H28" s="7" t="n">
        <v>2</v>
      </c>
      <c r="I28" s="7" t="n">
        <v>0.201</v>
      </c>
      <c r="J28" s="7" t="s">
        <v>28</v>
      </c>
      <c r="K28" s="7" t="n">
        <v>0.312</v>
      </c>
      <c r="L28" s="7" t="s">
        <v>18</v>
      </c>
      <c r="M28" s="7" t="s">
        <v>161</v>
      </c>
      <c r="N28" s="7" t="s">
        <v>162</v>
      </c>
      <c r="O28" s="20" t="n">
        <v>45</v>
      </c>
      <c r="P28" s="17" t="n">
        <v>10</v>
      </c>
    </row>
    <row r="29" customFormat="false" ht="15" hidden="false" customHeight="true" outlineLevel="0" collapsed="false">
      <c r="A29" s="4" t="n">
        <v>0.995</v>
      </c>
      <c r="B29" s="18" t="s">
        <v>89</v>
      </c>
      <c r="C29" s="4" t="n">
        <v>0.65</v>
      </c>
      <c r="D29" s="4" t="s">
        <v>29</v>
      </c>
      <c r="E29" s="4" t="n">
        <v>0.438</v>
      </c>
      <c r="F29" s="4" t="n">
        <v>1</v>
      </c>
      <c r="G29" s="4" t="n">
        <v>0.518</v>
      </c>
      <c r="H29" s="4" t="n">
        <v>1</v>
      </c>
      <c r="I29" s="4" t="n">
        <v>0.121</v>
      </c>
      <c r="J29" s="4" t="s">
        <v>28</v>
      </c>
      <c r="K29" s="4" t="n">
        <v>0.225</v>
      </c>
      <c r="L29" s="4" t="s">
        <v>18</v>
      </c>
      <c r="M29" s="4" t="s">
        <v>162</v>
      </c>
      <c r="N29" s="4" t="s">
        <v>163</v>
      </c>
      <c r="O29" s="21" t="n">
        <v>46</v>
      </c>
      <c r="P29" s="19" t="n">
        <v>10</v>
      </c>
    </row>
    <row r="30" customFormat="false" ht="15" hidden="false" customHeight="true" outlineLevel="0" collapsed="false">
      <c r="A30" s="7" t="n">
        <v>0.338</v>
      </c>
      <c r="B30" s="16" t="s">
        <v>36</v>
      </c>
      <c r="C30" s="7" t="n">
        <v>0.588</v>
      </c>
      <c r="D30" s="7" t="s">
        <v>29</v>
      </c>
      <c r="E30" s="7" t="n">
        <v>0.23</v>
      </c>
      <c r="F30" s="7" t="n">
        <v>1</v>
      </c>
      <c r="G30" s="7" t="n">
        <v>0.22</v>
      </c>
      <c r="H30" s="7" t="n">
        <v>1</v>
      </c>
      <c r="I30" s="7" t="n">
        <v>0.071</v>
      </c>
      <c r="J30" s="7" t="s">
        <v>28</v>
      </c>
      <c r="K30" s="7" t="n">
        <v>0.631</v>
      </c>
      <c r="L30" s="7" t="s">
        <v>136</v>
      </c>
      <c r="M30" s="7" t="s">
        <v>163</v>
      </c>
      <c r="N30" s="7" t="s">
        <v>164</v>
      </c>
      <c r="O30" s="20" t="n">
        <v>46</v>
      </c>
      <c r="P30" s="17" t="n">
        <v>5</v>
      </c>
    </row>
    <row r="31" customFormat="false" ht="15" hidden="false" customHeight="true" outlineLevel="0" collapsed="false">
      <c r="A31" s="4" t="n">
        <v>0.229</v>
      </c>
      <c r="B31" s="18" t="s">
        <v>14</v>
      </c>
      <c r="C31" s="4" t="n">
        <v>0.905</v>
      </c>
      <c r="D31" s="4" t="s">
        <v>70</v>
      </c>
      <c r="E31" s="4" t="n">
        <v>0.86</v>
      </c>
      <c r="F31" s="4" t="n">
        <v>3</v>
      </c>
      <c r="G31" s="4" t="n">
        <v>0.071</v>
      </c>
      <c r="H31" s="4" t="n">
        <v>1</v>
      </c>
      <c r="I31" s="4" t="n">
        <v>0.238</v>
      </c>
      <c r="J31" s="4" t="s">
        <v>28</v>
      </c>
      <c r="K31" s="4" t="n">
        <v>0.669</v>
      </c>
      <c r="L31" s="4" t="s">
        <v>136</v>
      </c>
      <c r="M31" s="4" t="s">
        <v>164</v>
      </c>
      <c r="N31" s="4" t="s">
        <v>165</v>
      </c>
      <c r="O31" s="21" t="n">
        <v>44</v>
      </c>
      <c r="P31" s="19" t="n">
        <v>10</v>
      </c>
    </row>
    <row r="32" customFormat="false" ht="15" hidden="false" customHeight="true" outlineLevel="0" collapsed="false">
      <c r="A32" s="7" t="n">
        <v>0.214</v>
      </c>
      <c r="B32" s="16" t="s">
        <v>14</v>
      </c>
      <c r="C32" s="7" t="n">
        <v>0.132</v>
      </c>
      <c r="D32" s="7" t="s">
        <v>17</v>
      </c>
      <c r="E32" s="7" t="n">
        <v>0.936</v>
      </c>
      <c r="F32" s="7" t="n">
        <v>4</v>
      </c>
      <c r="G32" s="7" t="n">
        <v>0.571</v>
      </c>
      <c r="H32" s="7" t="n">
        <v>1</v>
      </c>
      <c r="I32" s="7" t="n">
        <v>0.473</v>
      </c>
      <c r="J32" s="7" t="s">
        <v>28</v>
      </c>
      <c r="K32" s="7" t="n">
        <v>0.785</v>
      </c>
      <c r="L32" s="7" t="s">
        <v>136</v>
      </c>
      <c r="M32" s="7" t="s">
        <v>165</v>
      </c>
      <c r="N32" s="7" t="s">
        <v>166</v>
      </c>
      <c r="O32" s="20" t="n">
        <v>42</v>
      </c>
      <c r="P32" s="17" t="n">
        <v>10</v>
      </c>
    </row>
    <row r="33" customFormat="false" ht="15" hidden="false" customHeight="true" outlineLevel="0" collapsed="false">
      <c r="A33" s="4" t="n">
        <v>0.807</v>
      </c>
      <c r="B33" s="18" t="s">
        <v>66</v>
      </c>
      <c r="C33" s="4" t="n">
        <v>0.19</v>
      </c>
      <c r="D33" s="4" t="s">
        <v>17</v>
      </c>
      <c r="E33" s="4" t="n">
        <v>0.097</v>
      </c>
      <c r="F33" s="4" t="n">
        <v>1</v>
      </c>
      <c r="G33" s="4" t="n">
        <v>0.431</v>
      </c>
      <c r="H33" s="4" t="n">
        <v>1</v>
      </c>
      <c r="I33" s="4" t="n">
        <v>0.424</v>
      </c>
      <c r="J33" s="4" t="s">
        <v>28</v>
      </c>
      <c r="K33" s="4" t="n">
        <v>0.467</v>
      </c>
      <c r="L33" s="4" t="s">
        <v>18</v>
      </c>
      <c r="M33" s="4" t="s">
        <v>166</v>
      </c>
      <c r="N33" s="4" t="s">
        <v>167</v>
      </c>
      <c r="O33" s="21" t="n">
        <v>43</v>
      </c>
      <c r="P33" s="19" t="n">
        <v>55</v>
      </c>
    </row>
    <row r="34" customFormat="false" ht="15" hidden="false" customHeight="true" outlineLevel="0" collapsed="false">
      <c r="A34" s="7" t="n">
        <v>0.729</v>
      </c>
      <c r="B34" s="16" t="s">
        <v>40</v>
      </c>
      <c r="C34" s="7" t="n">
        <v>0.673</v>
      </c>
      <c r="D34" s="7" t="s">
        <v>29</v>
      </c>
      <c r="E34" s="7" t="n">
        <v>0.984</v>
      </c>
      <c r="F34" s="7" t="n">
        <v>5</v>
      </c>
      <c r="G34" s="7" t="n">
        <v>0.098</v>
      </c>
      <c r="H34" s="7" t="n">
        <v>1</v>
      </c>
      <c r="I34" s="7" t="n">
        <v>0.403</v>
      </c>
      <c r="J34" s="7" t="s">
        <v>28</v>
      </c>
      <c r="K34" s="7" t="n">
        <v>0.339</v>
      </c>
      <c r="L34" s="7" t="s">
        <v>18</v>
      </c>
      <c r="M34" s="7" t="s">
        <v>167</v>
      </c>
      <c r="N34" s="7" t="s">
        <v>168</v>
      </c>
      <c r="O34" s="20" t="n">
        <v>42</v>
      </c>
      <c r="P34" s="17" t="n">
        <v>65</v>
      </c>
    </row>
    <row r="35" customFormat="false" ht="15" hidden="false" customHeight="true" outlineLevel="0" collapsed="false">
      <c r="A35" s="4" t="n">
        <v>0.862</v>
      </c>
      <c r="B35" s="18" t="s">
        <v>46</v>
      </c>
      <c r="C35" s="4" t="n">
        <v>0.249</v>
      </c>
      <c r="D35" s="4" t="s">
        <v>17</v>
      </c>
      <c r="E35" s="4" t="n">
        <v>0.19</v>
      </c>
      <c r="F35" s="4" t="n">
        <v>1</v>
      </c>
      <c r="G35" s="4" t="n">
        <v>0.449</v>
      </c>
      <c r="H35" s="4" t="n">
        <v>1</v>
      </c>
      <c r="I35" s="4" t="n">
        <v>0.422</v>
      </c>
      <c r="J35" s="4" t="s">
        <v>28</v>
      </c>
      <c r="K35" s="4" t="n">
        <v>0.279</v>
      </c>
      <c r="L35" s="4" t="s">
        <v>18</v>
      </c>
      <c r="M35" s="4" t="s">
        <v>168</v>
      </c>
      <c r="N35" s="4" t="s">
        <v>169</v>
      </c>
      <c r="O35" s="21" t="n">
        <v>45</v>
      </c>
      <c r="P35" s="19" t="n">
        <v>15</v>
      </c>
    </row>
    <row r="36" customFormat="false" ht="15" hidden="false" customHeight="true" outlineLevel="0" collapsed="false">
      <c r="A36" s="7" t="n">
        <v>0.25</v>
      </c>
      <c r="B36" s="16" t="s">
        <v>14</v>
      </c>
      <c r="C36" s="7" t="n">
        <v>0.923</v>
      </c>
      <c r="D36" s="7" t="s">
        <v>95</v>
      </c>
      <c r="E36" s="7" t="n">
        <v>0.443</v>
      </c>
      <c r="F36" s="7" t="n">
        <v>1</v>
      </c>
      <c r="G36" s="7" t="n">
        <v>0.861</v>
      </c>
      <c r="H36" s="7" t="n">
        <v>3</v>
      </c>
      <c r="I36" s="7" t="n">
        <v>0.55</v>
      </c>
      <c r="J36" s="7" t="s">
        <v>16</v>
      </c>
      <c r="K36" s="7" t="n">
        <v>0.051</v>
      </c>
      <c r="L36" s="7" t="s">
        <v>18</v>
      </c>
      <c r="M36" s="7" t="s">
        <v>169</v>
      </c>
      <c r="N36" s="7" t="s">
        <v>170</v>
      </c>
      <c r="O36" s="20" t="n">
        <v>46</v>
      </c>
      <c r="P36" s="17" t="n">
        <v>30</v>
      </c>
    </row>
    <row r="37" customFormat="false" ht="15" hidden="false" customHeight="true" outlineLevel="0" collapsed="false">
      <c r="A37" s="4" t="n">
        <v>0.999</v>
      </c>
      <c r="B37" s="18" t="s">
        <v>89</v>
      </c>
      <c r="C37" s="4" t="n">
        <v>0.836</v>
      </c>
      <c r="D37" s="4" t="s">
        <v>70</v>
      </c>
      <c r="E37" s="4" t="n">
        <v>0.969</v>
      </c>
      <c r="F37" s="4" t="n">
        <v>4</v>
      </c>
      <c r="G37" s="4" t="n">
        <v>0.926</v>
      </c>
      <c r="H37" s="4" t="n">
        <v>3</v>
      </c>
      <c r="I37" s="4" t="n">
        <v>0.849</v>
      </c>
      <c r="J37" s="4" t="s">
        <v>16</v>
      </c>
      <c r="K37" s="4" t="n">
        <v>0.166</v>
      </c>
      <c r="L37" s="4" t="s">
        <v>18</v>
      </c>
      <c r="M37" s="4" t="s">
        <v>170</v>
      </c>
      <c r="N37" s="4" t="s">
        <v>171</v>
      </c>
      <c r="O37" s="21" t="n">
        <v>48</v>
      </c>
      <c r="P37" s="19" t="n">
        <v>30</v>
      </c>
    </row>
    <row r="38" customFormat="false" ht="15" hidden="false" customHeight="true" outlineLevel="0" collapsed="false">
      <c r="A38" s="7" t="n">
        <v>0.486</v>
      </c>
      <c r="B38" s="16" t="s">
        <v>23</v>
      </c>
      <c r="C38" s="7" t="n">
        <v>0.214</v>
      </c>
      <c r="D38" s="7" t="s">
        <v>17</v>
      </c>
      <c r="E38" s="7" t="n">
        <v>0.401</v>
      </c>
      <c r="F38" s="7" t="n">
        <v>1</v>
      </c>
      <c r="G38" s="7" t="n">
        <v>0.059</v>
      </c>
      <c r="H38" s="7" t="n">
        <v>1</v>
      </c>
      <c r="I38" s="7" t="n">
        <v>0.379</v>
      </c>
      <c r="J38" s="7" t="s">
        <v>28</v>
      </c>
      <c r="K38" s="7" t="n">
        <v>0.985</v>
      </c>
      <c r="L38" s="7" t="s">
        <v>136</v>
      </c>
      <c r="M38" s="7" t="s">
        <v>171</v>
      </c>
      <c r="N38" s="7" t="s">
        <v>172</v>
      </c>
      <c r="O38" s="20" t="n">
        <v>50</v>
      </c>
      <c r="P38" s="17" t="n">
        <v>5</v>
      </c>
    </row>
    <row r="39" customFormat="false" ht="15" hidden="false" customHeight="true" outlineLevel="0" collapsed="false">
      <c r="A39" s="4" t="n">
        <v>0.265</v>
      </c>
      <c r="B39" s="18" t="s">
        <v>14</v>
      </c>
      <c r="C39" s="4" t="n">
        <v>0.784</v>
      </c>
      <c r="D39" s="4" t="s">
        <v>70</v>
      </c>
      <c r="E39" s="4" t="n">
        <v>0.455</v>
      </c>
      <c r="F39" s="4" t="n">
        <v>1</v>
      </c>
      <c r="G39" s="4" t="n">
        <v>0.423</v>
      </c>
      <c r="H39" s="4" t="n">
        <v>1</v>
      </c>
      <c r="I39" s="4" t="n">
        <v>0.957</v>
      </c>
      <c r="J39" s="4" t="s">
        <v>38</v>
      </c>
      <c r="K39" s="4" t="n">
        <v>0.995</v>
      </c>
      <c r="L39" s="4" t="s">
        <v>136</v>
      </c>
      <c r="M39" s="4" t="s">
        <v>172</v>
      </c>
      <c r="N39" s="4" t="s">
        <v>173</v>
      </c>
      <c r="O39" s="21" t="n">
        <v>51</v>
      </c>
      <c r="P39" s="19" t="n">
        <v>10</v>
      </c>
    </row>
    <row r="40" customFormat="false" ht="15" hidden="false" customHeight="true" outlineLevel="0" collapsed="false">
      <c r="A40" s="7" t="n">
        <v>0.556</v>
      </c>
      <c r="B40" s="16" t="s">
        <v>32</v>
      </c>
      <c r="C40" s="7" t="n">
        <v>0.718</v>
      </c>
      <c r="D40" s="7" t="s">
        <v>29</v>
      </c>
      <c r="E40" s="7" t="n">
        <v>0.155</v>
      </c>
      <c r="F40" s="7" t="n">
        <v>1</v>
      </c>
      <c r="G40" s="7" t="n">
        <v>0.297</v>
      </c>
      <c r="H40" s="7" t="n">
        <v>1</v>
      </c>
      <c r="I40" s="7" t="n">
        <v>0.969</v>
      </c>
      <c r="J40" s="7" t="s">
        <v>38</v>
      </c>
      <c r="K40" s="7" t="n">
        <v>0.579</v>
      </c>
      <c r="L40" s="7" t="s">
        <v>136</v>
      </c>
      <c r="M40" s="7" t="s">
        <v>173</v>
      </c>
      <c r="N40" s="7" t="s">
        <v>174</v>
      </c>
      <c r="O40" s="20" t="n">
        <v>52</v>
      </c>
      <c r="P40" s="17" t="n">
        <v>20</v>
      </c>
    </row>
    <row r="41" customFormat="false" ht="15" hidden="false" customHeight="true" outlineLevel="0" collapsed="false">
      <c r="A41" s="4" t="n">
        <v>0.542</v>
      </c>
      <c r="B41" s="18" t="s">
        <v>32</v>
      </c>
      <c r="C41" s="4" t="n">
        <v>0.748</v>
      </c>
      <c r="D41" s="4" t="s">
        <v>29</v>
      </c>
      <c r="E41" s="4" t="n">
        <v>0.057</v>
      </c>
      <c r="F41" s="4" t="n">
        <v>1</v>
      </c>
      <c r="G41" s="4" t="n">
        <v>0.584</v>
      </c>
      <c r="H41" s="4" t="n">
        <v>1</v>
      </c>
      <c r="I41" s="4" t="n">
        <v>0.503</v>
      </c>
      <c r="J41" s="4" t="s">
        <v>28</v>
      </c>
      <c r="K41" s="4" t="n">
        <v>0.853</v>
      </c>
      <c r="L41" s="4" t="s">
        <v>136</v>
      </c>
      <c r="M41" s="4" t="s">
        <v>174</v>
      </c>
      <c r="N41" s="4" t="s">
        <v>175</v>
      </c>
      <c r="O41" s="21" t="n">
        <v>53</v>
      </c>
      <c r="P41" s="19" t="n">
        <v>20</v>
      </c>
    </row>
    <row r="42" customFormat="false" ht="15" hidden="false" customHeight="true" outlineLevel="0" collapsed="false">
      <c r="A42" s="7" t="n">
        <v>0.157</v>
      </c>
      <c r="B42" s="16" t="s">
        <v>14</v>
      </c>
      <c r="C42" s="7" t="n">
        <v>0.961</v>
      </c>
      <c r="D42" s="7" t="s">
        <v>95</v>
      </c>
      <c r="E42" s="7" t="n">
        <v>0.08</v>
      </c>
      <c r="F42" s="7" t="n">
        <v>1</v>
      </c>
      <c r="G42" s="7" t="n">
        <v>0.186</v>
      </c>
      <c r="H42" s="7" t="n">
        <v>1</v>
      </c>
      <c r="I42" s="7" t="n">
        <v>0.595</v>
      </c>
      <c r="J42" s="7" t="s">
        <v>16</v>
      </c>
      <c r="K42" s="7" t="n">
        <v>0.675</v>
      </c>
      <c r="L42" s="7" t="s">
        <v>136</v>
      </c>
      <c r="M42" s="7" t="s">
        <v>175</v>
      </c>
      <c r="N42" s="7" t="s">
        <v>176</v>
      </c>
      <c r="O42" s="20" t="n">
        <v>54</v>
      </c>
      <c r="P42" s="17" t="n">
        <v>10</v>
      </c>
    </row>
    <row r="43" customFormat="false" ht="15" hidden="false" customHeight="true" outlineLevel="0" collapsed="false">
      <c r="A43" s="4" t="n">
        <v>0.235</v>
      </c>
      <c r="B43" s="18" t="s">
        <v>14</v>
      </c>
      <c r="C43" s="4" t="n">
        <v>0.12</v>
      </c>
      <c r="D43" s="4" t="s">
        <v>17</v>
      </c>
      <c r="E43" s="4" t="n">
        <v>0.89</v>
      </c>
      <c r="F43" s="4" t="n">
        <v>3</v>
      </c>
      <c r="G43" s="4" t="n">
        <v>0.246</v>
      </c>
      <c r="H43" s="4" t="n">
        <v>1</v>
      </c>
      <c r="I43" s="4" t="n">
        <v>0.595</v>
      </c>
      <c r="J43" s="4" t="s">
        <v>16</v>
      </c>
      <c r="K43" s="4" t="n">
        <v>0.619</v>
      </c>
      <c r="L43" s="4" t="s">
        <v>136</v>
      </c>
      <c r="M43" s="4" t="s">
        <v>176</v>
      </c>
      <c r="N43" s="4" t="s">
        <v>177</v>
      </c>
      <c r="O43" s="21" t="n">
        <v>53</v>
      </c>
      <c r="P43" s="19" t="n">
        <v>10</v>
      </c>
    </row>
    <row r="44" customFormat="false" ht="15" hidden="false" customHeight="true" outlineLevel="0" collapsed="false">
      <c r="A44" s="7" t="n">
        <v>0.419</v>
      </c>
      <c r="B44" s="16" t="s">
        <v>36</v>
      </c>
      <c r="C44" s="7" t="n">
        <v>0.584</v>
      </c>
      <c r="D44" s="7" t="s">
        <v>29</v>
      </c>
      <c r="E44" s="7" t="n">
        <v>0.523</v>
      </c>
      <c r="F44" s="7" t="n">
        <v>1</v>
      </c>
      <c r="G44" s="7" t="n">
        <v>0.935</v>
      </c>
      <c r="H44" s="7" t="n">
        <v>3</v>
      </c>
      <c r="I44" s="7" t="n">
        <v>0.204</v>
      </c>
      <c r="J44" s="7" t="s">
        <v>28</v>
      </c>
      <c r="K44" s="7" t="n">
        <v>0.716</v>
      </c>
      <c r="L44" s="7" t="s">
        <v>136</v>
      </c>
      <c r="M44" s="7" t="s">
        <v>177</v>
      </c>
      <c r="N44" s="7" t="s">
        <v>178</v>
      </c>
      <c r="O44" s="20" t="n">
        <v>54</v>
      </c>
      <c r="P44" s="17" t="n">
        <v>15</v>
      </c>
    </row>
    <row r="45" customFormat="false" ht="15" hidden="false" customHeight="true" outlineLevel="0" collapsed="false">
      <c r="A45" s="4" t="n">
        <v>0.239</v>
      </c>
      <c r="B45" s="18" t="s">
        <v>14</v>
      </c>
      <c r="C45" s="4" t="n">
        <v>0.396</v>
      </c>
      <c r="D45" s="4" t="s">
        <v>29</v>
      </c>
      <c r="E45" s="4" t="n">
        <v>0.672</v>
      </c>
      <c r="F45" s="4" t="n">
        <v>2</v>
      </c>
      <c r="G45" s="4" t="n">
        <v>0.3</v>
      </c>
      <c r="H45" s="4" t="n">
        <v>1</v>
      </c>
      <c r="I45" s="4" t="n">
        <v>0.316</v>
      </c>
      <c r="J45" s="4" t="s">
        <v>28</v>
      </c>
      <c r="K45" s="4" t="n">
        <v>0.752</v>
      </c>
      <c r="L45" s="4" t="s">
        <v>136</v>
      </c>
      <c r="M45" s="4" t="s">
        <v>178</v>
      </c>
      <c r="N45" s="4" t="s">
        <v>179</v>
      </c>
      <c r="O45" s="21" t="n">
        <v>55</v>
      </c>
      <c r="P45" s="19" t="n">
        <v>10</v>
      </c>
    </row>
    <row r="46" customFormat="false" ht="15" hidden="false" customHeight="true" outlineLevel="0" collapsed="false">
      <c r="A46" s="7" t="n">
        <v>0.073</v>
      </c>
      <c r="B46" s="16" t="s">
        <v>14</v>
      </c>
      <c r="C46" s="7" t="n">
        <v>0.458</v>
      </c>
      <c r="D46" s="7" t="s">
        <v>29</v>
      </c>
      <c r="E46" s="7" t="n">
        <v>0.998</v>
      </c>
      <c r="F46" s="7" t="n">
        <v>5</v>
      </c>
      <c r="G46" s="7" t="n">
        <v>0.996</v>
      </c>
      <c r="H46" s="7" t="n">
        <v>4</v>
      </c>
      <c r="I46" s="7" t="n">
        <v>0.073</v>
      </c>
      <c r="J46" s="7" t="s">
        <v>28</v>
      </c>
      <c r="K46" s="7" t="n">
        <v>0.213</v>
      </c>
      <c r="L46" s="7" t="s">
        <v>18</v>
      </c>
      <c r="M46" s="7" t="s">
        <v>179</v>
      </c>
      <c r="N46" s="7" t="s">
        <v>180</v>
      </c>
      <c r="O46" s="20" t="n">
        <v>52</v>
      </c>
      <c r="P46" s="17" t="n">
        <v>40</v>
      </c>
    </row>
    <row r="47" customFormat="false" ht="15" hidden="false" customHeight="true" outlineLevel="0" collapsed="false">
      <c r="A47" s="4" t="n">
        <v>0.265</v>
      </c>
      <c r="B47" s="18" t="s">
        <v>14</v>
      </c>
      <c r="C47" s="4" t="n">
        <v>0.933</v>
      </c>
      <c r="D47" s="4" t="s">
        <v>95</v>
      </c>
      <c r="E47" s="4" t="n">
        <v>0.881</v>
      </c>
      <c r="F47" s="4" t="n">
        <v>3</v>
      </c>
      <c r="G47" s="4" t="n">
        <v>0.879</v>
      </c>
      <c r="H47" s="4" t="n">
        <v>3</v>
      </c>
      <c r="I47" s="4" t="n">
        <v>0.37</v>
      </c>
      <c r="J47" s="4" t="s">
        <v>28</v>
      </c>
      <c r="K47" s="4" t="n">
        <v>0.158</v>
      </c>
      <c r="L47" s="4" t="s">
        <v>18</v>
      </c>
      <c r="M47" s="4" t="s">
        <v>180</v>
      </c>
      <c r="N47" s="4" t="s">
        <v>181</v>
      </c>
      <c r="O47" s="21" t="n">
        <v>57</v>
      </c>
      <c r="P47" s="19" t="n">
        <v>30</v>
      </c>
    </row>
    <row r="48" customFormat="false" ht="15" hidden="false" customHeight="true" outlineLevel="0" collapsed="false">
      <c r="A48" s="7" t="n">
        <v>0.834</v>
      </c>
      <c r="B48" s="16" t="s">
        <v>54</v>
      </c>
      <c r="C48" s="7" t="n">
        <v>0.704</v>
      </c>
      <c r="D48" s="7" t="s">
        <v>29</v>
      </c>
      <c r="E48" s="7" t="n">
        <v>0.612</v>
      </c>
      <c r="F48" s="7" t="n">
        <v>1</v>
      </c>
      <c r="G48" s="7" t="n">
        <v>0.987</v>
      </c>
      <c r="H48" s="7" t="n">
        <v>4</v>
      </c>
      <c r="I48" s="7" t="n">
        <v>0.654</v>
      </c>
      <c r="J48" s="7" t="s">
        <v>16</v>
      </c>
      <c r="K48" s="7" t="n">
        <v>0.008</v>
      </c>
      <c r="L48" s="7" t="s">
        <v>18</v>
      </c>
      <c r="M48" s="7" t="s">
        <v>181</v>
      </c>
      <c r="N48" s="7" t="s">
        <v>182</v>
      </c>
      <c r="O48" s="20" t="n">
        <v>62</v>
      </c>
      <c r="P48" s="17" t="n">
        <v>180</v>
      </c>
    </row>
    <row r="49" customFormat="false" ht="15" hidden="false" customHeight="true" outlineLevel="0" collapsed="false">
      <c r="A49" s="4" t="n">
        <v>0.817</v>
      </c>
      <c r="B49" s="18" t="s">
        <v>54</v>
      </c>
      <c r="C49" s="4" t="n">
        <v>0.299</v>
      </c>
      <c r="D49" s="4" t="s">
        <v>17</v>
      </c>
      <c r="E49" s="4" t="n">
        <v>0.663</v>
      </c>
      <c r="F49" s="4" t="n">
        <v>2</v>
      </c>
      <c r="G49" s="4" t="n">
        <v>0.939</v>
      </c>
      <c r="H49" s="4" t="n">
        <v>3</v>
      </c>
      <c r="I49" s="4" t="n">
        <v>0.134</v>
      </c>
      <c r="J49" s="4" t="s">
        <v>28</v>
      </c>
      <c r="K49" s="4" t="n">
        <v>0.115</v>
      </c>
      <c r="L49" s="4" t="s">
        <v>18</v>
      </c>
      <c r="M49" s="4" t="s">
        <v>182</v>
      </c>
      <c r="N49" s="4" t="s">
        <v>183</v>
      </c>
      <c r="O49" s="21" t="n">
        <v>76</v>
      </c>
      <c r="P49" s="19" t="n">
        <v>135</v>
      </c>
    </row>
    <row r="50" customFormat="false" ht="15" hidden="false" customHeight="true" outlineLevel="0" collapsed="false">
      <c r="A50" s="7" t="n">
        <v>0.107</v>
      </c>
      <c r="B50" s="16" t="s">
        <v>14</v>
      </c>
      <c r="C50" s="7" t="n">
        <v>0.553</v>
      </c>
      <c r="D50" s="7" t="s">
        <v>29</v>
      </c>
      <c r="E50" s="7" t="n">
        <v>0.272</v>
      </c>
      <c r="F50" s="7" t="n">
        <v>1</v>
      </c>
      <c r="G50" s="7" t="n">
        <v>0.605</v>
      </c>
      <c r="H50" s="7" t="n">
        <v>2</v>
      </c>
      <c r="I50" s="7" t="n">
        <v>0.718</v>
      </c>
      <c r="J50" s="7" t="s">
        <v>16</v>
      </c>
      <c r="K50" s="7" t="n">
        <v>0.204</v>
      </c>
      <c r="L50" s="7" t="s">
        <v>18</v>
      </c>
      <c r="M50" s="7" t="s">
        <v>183</v>
      </c>
      <c r="N50" s="7" t="s">
        <v>184</v>
      </c>
      <c r="O50" s="20" t="n">
        <v>87</v>
      </c>
      <c r="P50" s="17" t="n">
        <v>20</v>
      </c>
    </row>
    <row r="51" customFormat="false" ht="15" hidden="false" customHeight="true" outlineLevel="0" collapsed="false">
      <c r="A51" s="4" t="n">
        <v>0.634</v>
      </c>
      <c r="B51" s="18" t="s">
        <v>57</v>
      </c>
      <c r="C51" s="4" t="n">
        <v>0.264</v>
      </c>
      <c r="D51" s="4" t="s">
        <v>17</v>
      </c>
      <c r="E51" s="4" t="n">
        <v>0.489</v>
      </c>
      <c r="F51" s="4" t="n">
        <v>1</v>
      </c>
      <c r="G51" s="4" t="n">
        <v>0.905</v>
      </c>
      <c r="H51" s="4" t="n">
        <v>3</v>
      </c>
      <c r="I51" s="4" t="n">
        <v>0.846</v>
      </c>
      <c r="J51" s="4" t="s">
        <v>16</v>
      </c>
      <c r="K51" s="4" t="n">
        <v>0.092</v>
      </c>
      <c r="L51" s="4" t="s">
        <v>18</v>
      </c>
      <c r="M51" s="4" t="s">
        <v>184</v>
      </c>
      <c r="N51" s="4" t="s">
        <v>185</v>
      </c>
      <c r="O51" s="21" t="n">
        <v>90</v>
      </c>
      <c r="P51" s="19" t="n">
        <v>105</v>
      </c>
    </row>
    <row r="52" customFormat="false" ht="15" hidden="false" customHeight="true" outlineLevel="0" collapsed="false">
      <c r="A52" s="7" t="n">
        <v>0.424</v>
      </c>
      <c r="B52" s="16" t="s">
        <v>36</v>
      </c>
      <c r="C52" s="7" t="n">
        <v>0.277</v>
      </c>
      <c r="D52" s="7" t="s">
        <v>17</v>
      </c>
      <c r="E52" s="7" t="n">
        <v>0.004</v>
      </c>
      <c r="F52" s="7" t="n">
        <v>1</v>
      </c>
      <c r="G52" s="7" t="n">
        <v>0.771</v>
      </c>
      <c r="H52" s="7" t="n">
        <v>2</v>
      </c>
      <c r="I52" s="7" t="n">
        <v>0.637</v>
      </c>
      <c r="J52" s="7" t="s">
        <v>16</v>
      </c>
      <c r="K52" s="7" t="n">
        <v>0.262</v>
      </c>
      <c r="L52" s="7" t="s">
        <v>18</v>
      </c>
      <c r="M52" s="7" t="s">
        <v>185</v>
      </c>
      <c r="N52" s="7" t="s">
        <v>186</v>
      </c>
      <c r="O52" s="20" t="n">
        <v>98</v>
      </c>
      <c r="P52" s="17" t="n">
        <v>10</v>
      </c>
    </row>
    <row r="53" customFormat="false" ht="15" hidden="false" customHeight="true" outlineLevel="0" collapsed="false">
      <c r="A53" s="4" t="n">
        <v>0.741</v>
      </c>
      <c r="B53" s="18" t="s">
        <v>40</v>
      </c>
      <c r="C53" s="4" t="n">
        <v>0.552</v>
      </c>
      <c r="D53" s="4" t="s">
        <v>29</v>
      </c>
      <c r="E53" s="4" t="n">
        <v>0.428</v>
      </c>
      <c r="F53" s="4" t="n">
        <v>1</v>
      </c>
      <c r="G53" s="4" t="n">
        <v>0.01</v>
      </c>
      <c r="H53" s="4" t="n">
        <v>1</v>
      </c>
      <c r="I53" s="4" t="n">
        <v>0.075</v>
      </c>
      <c r="J53" s="4" t="s">
        <v>28</v>
      </c>
      <c r="K53" s="4" t="n">
        <v>0.883</v>
      </c>
      <c r="L53" s="4" t="s">
        <v>136</v>
      </c>
      <c r="M53" s="4" t="s">
        <v>186</v>
      </c>
      <c r="N53" s="4" t="s">
        <v>187</v>
      </c>
      <c r="O53" s="21" t="n">
        <v>99</v>
      </c>
      <c r="P53" s="19" t="n">
        <v>65</v>
      </c>
    </row>
    <row r="54" customFormat="false" ht="15" hidden="false" customHeight="true" outlineLevel="0" collapsed="false">
      <c r="A54" s="7" t="n">
        <v>0.904</v>
      </c>
      <c r="B54" s="16" t="s">
        <v>87</v>
      </c>
      <c r="C54" s="7" t="n">
        <v>0.546</v>
      </c>
      <c r="D54" s="7" t="s">
        <v>29</v>
      </c>
      <c r="E54" s="7" t="n">
        <v>0.835</v>
      </c>
      <c r="F54" s="7" t="n">
        <v>2</v>
      </c>
      <c r="G54" s="7" t="n">
        <v>0.583</v>
      </c>
      <c r="H54" s="7" t="n">
        <v>1</v>
      </c>
      <c r="I54" s="7" t="n">
        <v>0.148</v>
      </c>
      <c r="J54" s="7" t="s">
        <v>28</v>
      </c>
      <c r="K54" s="7" t="n">
        <v>0.127</v>
      </c>
      <c r="L54" s="7" t="s">
        <v>18</v>
      </c>
      <c r="M54" s="7" t="s">
        <v>187</v>
      </c>
      <c r="N54" s="7" t="s">
        <v>188</v>
      </c>
      <c r="O54" s="20" t="n">
        <v>101</v>
      </c>
      <c r="P54" s="17" t="n">
        <v>15</v>
      </c>
    </row>
    <row r="55" customFormat="false" ht="15" hidden="false" customHeight="true" outlineLevel="0" collapsed="false">
      <c r="A55" s="4" t="n">
        <v>0.308</v>
      </c>
      <c r="B55" s="18" t="s">
        <v>36</v>
      </c>
      <c r="C55" s="4" t="n">
        <v>0.899</v>
      </c>
      <c r="D55" s="4" t="s">
        <v>70</v>
      </c>
      <c r="E55" s="4" t="n">
        <v>0.796</v>
      </c>
      <c r="F55" s="4" t="n">
        <v>2</v>
      </c>
      <c r="G55" s="4" t="n">
        <v>0.861</v>
      </c>
      <c r="H55" s="4" t="n">
        <v>3</v>
      </c>
      <c r="I55" s="4" t="n">
        <v>0.899</v>
      </c>
      <c r="J55" s="4" t="s">
        <v>16</v>
      </c>
      <c r="K55" s="4" t="n">
        <v>0.21</v>
      </c>
      <c r="L55" s="4" t="s">
        <v>18</v>
      </c>
      <c r="M55" s="4" t="s">
        <v>188</v>
      </c>
      <c r="N55" s="4" t="s">
        <v>189</v>
      </c>
      <c r="O55" s="21" t="n">
        <v>101</v>
      </c>
      <c r="P55" s="19" t="n">
        <v>15</v>
      </c>
    </row>
    <row r="56" customFormat="false" ht="15" hidden="false" customHeight="true" outlineLevel="0" collapsed="false">
      <c r="A56" s="7" t="n">
        <v>0.25</v>
      </c>
      <c r="B56" s="16" t="s">
        <v>14</v>
      </c>
      <c r="C56" s="7" t="n">
        <v>0.103</v>
      </c>
      <c r="D56" s="7" t="s">
        <v>17</v>
      </c>
      <c r="E56" s="7" t="n">
        <v>0.78</v>
      </c>
      <c r="F56" s="7" t="n">
        <v>2</v>
      </c>
      <c r="G56" s="7" t="n">
        <v>0.884</v>
      </c>
      <c r="H56" s="7" t="n">
        <v>3</v>
      </c>
      <c r="I56" s="7" t="n">
        <v>0.406</v>
      </c>
      <c r="J56" s="7" t="s">
        <v>28</v>
      </c>
      <c r="K56" s="7" t="n">
        <v>0.621</v>
      </c>
      <c r="L56" s="7" t="s">
        <v>136</v>
      </c>
      <c r="M56" s="7" t="s">
        <v>189</v>
      </c>
      <c r="N56" s="7" t="s">
        <v>190</v>
      </c>
      <c r="O56" s="20" t="n">
        <v>102</v>
      </c>
      <c r="P56" s="17" t="n">
        <v>30</v>
      </c>
    </row>
    <row r="57" customFormat="false" ht="15" hidden="false" customHeight="true" outlineLevel="0" collapsed="false">
      <c r="A57" s="4" t="n">
        <v>0.155</v>
      </c>
      <c r="B57" s="18" t="s">
        <v>14</v>
      </c>
      <c r="C57" s="4" t="n">
        <v>0.93</v>
      </c>
      <c r="D57" s="4" t="s">
        <v>95</v>
      </c>
      <c r="E57" s="4" t="n">
        <v>0.865</v>
      </c>
      <c r="F57" s="4" t="n">
        <v>3</v>
      </c>
      <c r="G57" s="4" t="n">
        <v>0.976</v>
      </c>
      <c r="H57" s="4" t="n">
        <v>4</v>
      </c>
      <c r="I57" s="4" t="n">
        <v>0.811</v>
      </c>
      <c r="J57" s="4" t="s">
        <v>16</v>
      </c>
      <c r="K57" s="4" t="n">
        <v>0.881</v>
      </c>
      <c r="L57" s="4" t="s">
        <v>136</v>
      </c>
      <c r="M57" s="4" t="s">
        <v>190</v>
      </c>
      <c r="N57" s="4" t="s">
        <v>191</v>
      </c>
      <c r="O57" s="21" t="n">
        <v>105</v>
      </c>
      <c r="P57" s="19" t="n">
        <v>40</v>
      </c>
    </row>
    <row r="58" customFormat="false" ht="15" hidden="false" customHeight="true" outlineLevel="0" collapsed="false">
      <c r="A58" s="7" t="n">
        <v>0.025</v>
      </c>
      <c r="B58" s="16" t="s">
        <v>14</v>
      </c>
      <c r="C58" s="7" t="n">
        <v>0.737</v>
      </c>
      <c r="D58" s="7" t="s">
        <v>29</v>
      </c>
      <c r="E58" s="7" t="n">
        <v>0.332</v>
      </c>
      <c r="F58" s="7" t="n">
        <v>1</v>
      </c>
      <c r="G58" s="7" t="n">
        <v>0.931</v>
      </c>
      <c r="H58" s="7" t="n">
        <v>3</v>
      </c>
      <c r="I58" s="7" t="n">
        <v>0.802</v>
      </c>
      <c r="J58" s="7" t="s">
        <v>16</v>
      </c>
      <c r="K58" s="7" t="n">
        <v>0.864</v>
      </c>
      <c r="L58" s="7" t="s">
        <v>136</v>
      </c>
      <c r="M58" s="7" t="s">
        <v>191</v>
      </c>
      <c r="N58" s="7" t="s">
        <v>192</v>
      </c>
      <c r="O58" s="20" t="n">
        <v>112</v>
      </c>
      <c r="P58" s="17" t="n">
        <v>30</v>
      </c>
    </row>
    <row r="59" customFormat="false" ht="15" hidden="false" customHeight="true" outlineLevel="0" collapsed="false">
      <c r="A59" s="4" t="n">
        <v>0.811</v>
      </c>
      <c r="B59" s="18" t="s">
        <v>66</v>
      </c>
      <c r="C59" s="4" t="n">
        <v>0.267</v>
      </c>
      <c r="D59" s="4" t="s">
        <v>17</v>
      </c>
      <c r="E59" s="4" t="n">
        <v>0.787</v>
      </c>
      <c r="F59" s="4" t="n">
        <v>2</v>
      </c>
      <c r="G59" s="4" t="n">
        <v>0.108</v>
      </c>
      <c r="H59" s="4" t="n">
        <v>1</v>
      </c>
      <c r="I59" s="4" t="n">
        <v>0.872</v>
      </c>
      <c r="J59" s="4" t="s">
        <v>16</v>
      </c>
      <c r="K59" s="4" t="n">
        <v>0.859</v>
      </c>
      <c r="L59" s="4" t="s">
        <v>136</v>
      </c>
      <c r="M59" s="4" t="s">
        <v>192</v>
      </c>
      <c r="N59" s="4" t="s">
        <v>193</v>
      </c>
      <c r="O59" s="21" t="n">
        <v>116</v>
      </c>
      <c r="P59" s="19" t="n">
        <v>55</v>
      </c>
    </row>
    <row r="60" customFormat="false" ht="15" hidden="false" customHeight="true" outlineLevel="0" collapsed="false">
      <c r="A60" s="7" t="n">
        <v>0.222</v>
      </c>
      <c r="B60" s="16" t="s">
        <v>14</v>
      </c>
      <c r="C60" s="7" t="n">
        <v>0.817</v>
      </c>
      <c r="D60" s="7" t="s">
        <v>70</v>
      </c>
      <c r="E60" s="7" t="n">
        <v>0.46</v>
      </c>
      <c r="F60" s="7" t="n">
        <v>1</v>
      </c>
      <c r="G60" s="7" t="n">
        <v>0.305</v>
      </c>
      <c r="H60" s="7" t="n">
        <v>1</v>
      </c>
      <c r="I60" s="7" t="n">
        <v>0.795</v>
      </c>
      <c r="J60" s="7" t="s">
        <v>16</v>
      </c>
      <c r="K60" s="7" t="n">
        <v>0.228</v>
      </c>
      <c r="L60" s="7" t="s">
        <v>18</v>
      </c>
      <c r="M60" s="7" t="s">
        <v>193</v>
      </c>
      <c r="N60" s="7" t="s">
        <v>194</v>
      </c>
      <c r="O60" s="20" t="n">
        <v>119</v>
      </c>
      <c r="P60" s="17" t="n">
        <v>10</v>
      </c>
    </row>
    <row r="61" customFormat="false" ht="15" hidden="false" customHeight="true" outlineLevel="0" collapsed="false">
      <c r="A61" s="4" t="n">
        <v>0.024</v>
      </c>
      <c r="B61" s="18" t="s">
        <v>14</v>
      </c>
      <c r="C61" s="4" t="n">
        <v>0.193</v>
      </c>
      <c r="D61" s="4" t="s">
        <v>17</v>
      </c>
      <c r="E61" s="4" t="n">
        <v>0.328</v>
      </c>
      <c r="F61" s="4" t="n">
        <v>1</v>
      </c>
      <c r="G61" s="4" t="n">
        <v>0.864</v>
      </c>
      <c r="H61" s="4" t="n">
        <v>3</v>
      </c>
      <c r="I61" s="4" t="n">
        <v>0.967</v>
      </c>
      <c r="J61" s="4" t="s">
        <v>38</v>
      </c>
      <c r="K61" s="4" t="n">
        <v>0.279</v>
      </c>
      <c r="L61" s="4" t="s">
        <v>18</v>
      </c>
      <c r="M61" s="4" t="s">
        <v>194</v>
      </c>
      <c r="N61" s="4" t="s">
        <v>195</v>
      </c>
      <c r="O61" s="21" t="n">
        <v>120</v>
      </c>
      <c r="P61" s="19" t="n">
        <v>30</v>
      </c>
    </row>
    <row r="62" customFormat="false" ht="15" hidden="false" customHeight="true" outlineLevel="0" collapsed="false">
      <c r="A62" s="7" t="n">
        <v>0.641</v>
      </c>
      <c r="B62" s="16" t="s">
        <v>57</v>
      </c>
      <c r="C62" s="7" t="n">
        <v>0.4</v>
      </c>
      <c r="D62" s="7" t="s">
        <v>29</v>
      </c>
      <c r="E62" s="7" t="n">
        <v>0.981</v>
      </c>
      <c r="F62" s="7" t="n">
        <v>5</v>
      </c>
      <c r="G62" s="7" t="n">
        <v>0.536</v>
      </c>
      <c r="H62" s="7" t="n">
        <v>1</v>
      </c>
      <c r="I62" s="7" t="n">
        <v>0.939</v>
      </c>
      <c r="J62" s="7" t="s">
        <v>38</v>
      </c>
      <c r="K62" s="7" t="n">
        <v>0.115</v>
      </c>
      <c r="L62" s="7" t="s">
        <v>18</v>
      </c>
      <c r="M62" s="7" t="s">
        <v>195</v>
      </c>
      <c r="N62" s="7" t="s">
        <v>196</v>
      </c>
      <c r="O62" s="20" t="n">
        <v>121</v>
      </c>
      <c r="P62" s="17" t="n">
        <v>35</v>
      </c>
    </row>
    <row r="63" customFormat="false" ht="15" hidden="false" customHeight="true" outlineLevel="0" collapsed="false">
      <c r="A63" s="4" t="n">
        <v>0.97</v>
      </c>
      <c r="B63" s="18" t="s">
        <v>88</v>
      </c>
      <c r="C63" s="4" t="n">
        <v>0.179</v>
      </c>
      <c r="D63" s="4" t="s">
        <v>17</v>
      </c>
      <c r="E63" s="4" t="n">
        <v>0.963</v>
      </c>
      <c r="F63" s="4" t="n">
        <v>4</v>
      </c>
      <c r="G63" s="4" t="n">
        <v>0.265</v>
      </c>
      <c r="H63" s="4" t="n">
        <v>1</v>
      </c>
      <c r="I63" s="4" t="n">
        <v>0.108</v>
      </c>
      <c r="J63" s="4" t="s">
        <v>28</v>
      </c>
      <c r="K63" s="4" t="n">
        <v>0.435</v>
      </c>
      <c r="L63" s="4" t="s">
        <v>18</v>
      </c>
      <c r="M63" s="4" t="s">
        <v>196</v>
      </c>
      <c r="N63" s="4" t="s">
        <v>197</v>
      </c>
      <c r="O63" s="21" t="n">
        <v>120</v>
      </c>
      <c r="P63" s="19" t="n">
        <v>10</v>
      </c>
    </row>
    <row r="64" customFormat="false" ht="15" hidden="false" customHeight="true" outlineLevel="0" collapsed="false">
      <c r="A64" s="7" t="n">
        <v>0.729</v>
      </c>
      <c r="B64" s="16" t="s">
        <v>40</v>
      </c>
      <c r="C64" s="7" t="n">
        <v>0.314</v>
      </c>
      <c r="D64" s="7" t="s">
        <v>17</v>
      </c>
      <c r="E64" s="7" t="n">
        <v>0.606</v>
      </c>
      <c r="F64" s="7" t="n">
        <v>1</v>
      </c>
      <c r="G64" s="7" t="n">
        <v>0.511</v>
      </c>
      <c r="H64" s="7" t="n">
        <v>1</v>
      </c>
      <c r="I64" s="7" t="n">
        <v>0.385</v>
      </c>
      <c r="J64" s="7" t="s">
        <v>28</v>
      </c>
      <c r="K64" s="7" t="n">
        <v>0.577</v>
      </c>
      <c r="L64" s="7" t="s">
        <v>136</v>
      </c>
      <c r="M64" s="7" t="s">
        <v>197</v>
      </c>
      <c r="N64" s="7" t="s">
        <v>198</v>
      </c>
      <c r="O64" s="20" t="n">
        <v>120</v>
      </c>
      <c r="P64" s="17" t="n">
        <v>65</v>
      </c>
    </row>
    <row r="65" customFormat="false" ht="15" hidden="false" customHeight="true" outlineLevel="0" collapsed="false">
      <c r="A65" s="4" t="n">
        <v>0.255</v>
      </c>
      <c r="B65" s="18" t="s">
        <v>14</v>
      </c>
      <c r="C65" s="4" t="n">
        <v>0.709</v>
      </c>
      <c r="D65" s="4" t="s">
        <v>29</v>
      </c>
      <c r="E65" s="4" t="n">
        <v>0.002</v>
      </c>
      <c r="F65" s="4" t="n">
        <v>1</v>
      </c>
      <c r="G65" s="4" t="n">
        <v>0.926</v>
      </c>
      <c r="H65" s="4" t="n">
        <v>3</v>
      </c>
      <c r="I65" s="4" t="n">
        <v>0.538</v>
      </c>
      <c r="J65" s="4" t="s">
        <v>28</v>
      </c>
      <c r="K65" s="4" t="n">
        <v>0.719</v>
      </c>
      <c r="L65" s="4" t="s">
        <v>136</v>
      </c>
      <c r="M65" s="4" t="s">
        <v>198</v>
      </c>
      <c r="N65" s="4" t="s">
        <v>199</v>
      </c>
      <c r="O65" s="21" t="n">
        <v>123</v>
      </c>
      <c r="P65" s="19" t="n">
        <v>30</v>
      </c>
    </row>
    <row r="66" customFormat="false" ht="15" hidden="false" customHeight="true" outlineLevel="0" collapsed="false">
      <c r="A66" s="7" t="n">
        <v>0.742</v>
      </c>
      <c r="B66" s="16" t="s">
        <v>40</v>
      </c>
      <c r="C66" s="7" t="n">
        <v>0.671</v>
      </c>
      <c r="D66" s="7" t="s">
        <v>29</v>
      </c>
      <c r="E66" s="7" t="n">
        <v>0.364</v>
      </c>
      <c r="F66" s="7" t="n">
        <v>1</v>
      </c>
      <c r="G66" s="7" t="n">
        <v>0.07</v>
      </c>
      <c r="H66" s="7" t="n">
        <v>1</v>
      </c>
      <c r="I66" s="7" t="n">
        <v>0.664</v>
      </c>
      <c r="J66" s="7" t="s">
        <v>16</v>
      </c>
      <c r="K66" s="7" t="n">
        <v>0.33</v>
      </c>
      <c r="L66" s="7" t="s">
        <v>18</v>
      </c>
      <c r="M66" s="7" t="s">
        <v>199</v>
      </c>
      <c r="N66" s="7" t="s">
        <v>200</v>
      </c>
      <c r="O66" s="20" t="n">
        <v>128</v>
      </c>
      <c r="P66" s="17" t="n">
        <v>65</v>
      </c>
    </row>
    <row r="67" customFormat="false" ht="15" hidden="false" customHeight="true" outlineLevel="0" collapsed="false">
      <c r="A67" s="4" t="n">
        <v>0.314</v>
      </c>
      <c r="B67" s="18" t="s">
        <v>36</v>
      </c>
      <c r="C67" s="4" t="n">
        <v>0.848</v>
      </c>
      <c r="D67" s="4" t="s">
        <v>70</v>
      </c>
      <c r="E67" s="4" t="n">
        <v>0.72</v>
      </c>
      <c r="F67" s="4" t="n">
        <v>2</v>
      </c>
      <c r="G67" s="4" t="n">
        <v>0.3</v>
      </c>
      <c r="H67" s="4" t="n">
        <v>1</v>
      </c>
      <c r="I67" s="4" t="n">
        <v>0.309</v>
      </c>
      <c r="J67" s="4" t="s">
        <v>28</v>
      </c>
      <c r="K67" s="4" t="n">
        <v>0.408</v>
      </c>
      <c r="L67" s="4" t="s">
        <v>18</v>
      </c>
      <c r="M67" s="4" t="s">
        <v>200</v>
      </c>
      <c r="N67" s="4" t="s">
        <v>201</v>
      </c>
      <c r="O67" s="21" t="n">
        <v>130</v>
      </c>
      <c r="P67" s="19" t="n">
        <v>5</v>
      </c>
    </row>
    <row r="68" customFormat="false" ht="15" hidden="false" customHeight="true" outlineLevel="0" collapsed="false">
      <c r="A68" s="7" t="n">
        <v>0.402</v>
      </c>
      <c r="B68" s="16" t="s">
        <v>36</v>
      </c>
      <c r="C68" s="7" t="n">
        <v>0.296</v>
      </c>
      <c r="D68" s="7" t="s">
        <v>17</v>
      </c>
      <c r="E68" s="7" t="n">
        <v>0.127</v>
      </c>
      <c r="F68" s="7" t="n">
        <v>1</v>
      </c>
      <c r="G68" s="7" t="n">
        <v>0.42</v>
      </c>
      <c r="H68" s="7" t="n">
        <v>1</v>
      </c>
      <c r="I68" s="7" t="n">
        <v>0.94</v>
      </c>
      <c r="J68" s="7" t="s">
        <v>38</v>
      </c>
      <c r="K68" s="7" t="n">
        <v>0.677</v>
      </c>
      <c r="L68" s="7" t="s">
        <v>136</v>
      </c>
      <c r="M68" s="7" t="s">
        <v>201</v>
      </c>
      <c r="N68" s="7" t="s">
        <v>202</v>
      </c>
      <c r="O68" s="20" t="n">
        <v>130</v>
      </c>
      <c r="P68" s="17" t="n">
        <v>5</v>
      </c>
    </row>
    <row r="69" customFormat="false" ht="15" hidden="false" customHeight="true" outlineLevel="0" collapsed="false">
      <c r="A69" s="4" t="n">
        <v>0.903</v>
      </c>
      <c r="B69" s="18" t="s">
        <v>87</v>
      </c>
      <c r="C69" s="4" t="n">
        <v>0.616</v>
      </c>
      <c r="D69" s="4" t="s">
        <v>29</v>
      </c>
      <c r="E69" s="4" t="n">
        <v>0.301</v>
      </c>
      <c r="F69" s="4" t="n">
        <v>1</v>
      </c>
      <c r="G69" s="4" t="n">
        <v>0.548</v>
      </c>
      <c r="H69" s="4" t="n">
        <v>1</v>
      </c>
      <c r="I69" s="4" t="n">
        <v>0</v>
      </c>
      <c r="J69" s="4" t="s">
        <v>28</v>
      </c>
      <c r="K69" s="4" t="n">
        <v>0.287</v>
      </c>
      <c r="L69" s="4" t="s">
        <v>18</v>
      </c>
      <c r="M69" s="4" t="s">
        <v>202</v>
      </c>
      <c r="N69" s="4" t="s">
        <v>203</v>
      </c>
      <c r="O69" s="21" t="n">
        <v>130</v>
      </c>
      <c r="P69" s="19" t="n">
        <v>15</v>
      </c>
    </row>
    <row r="70" customFormat="false" ht="15" hidden="false" customHeight="true" outlineLevel="0" collapsed="false">
      <c r="A70" s="7" t="n">
        <v>0.43</v>
      </c>
      <c r="B70" s="16" t="s">
        <v>23</v>
      </c>
      <c r="C70" s="7" t="n">
        <v>0.58</v>
      </c>
      <c r="D70" s="7" t="s">
        <v>29</v>
      </c>
      <c r="E70" s="7" t="n">
        <v>0.655</v>
      </c>
      <c r="F70" s="7" t="n">
        <v>2</v>
      </c>
      <c r="G70" s="7" t="n">
        <v>0.465</v>
      </c>
      <c r="H70" s="7" t="n">
        <v>1</v>
      </c>
      <c r="I70" s="7" t="n">
        <v>0.442</v>
      </c>
      <c r="J70" s="7" t="s">
        <v>28</v>
      </c>
      <c r="K70" s="7" t="n">
        <v>0.214</v>
      </c>
      <c r="L70" s="7" t="s">
        <v>18</v>
      </c>
      <c r="M70" s="7" t="s">
        <v>203</v>
      </c>
      <c r="N70" s="7" t="s">
        <v>204</v>
      </c>
      <c r="O70" s="20" t="n">
        <v>130</v>
      </c>
      <c r="P70" s="17" t="n">
        <v>5</v>
      </c>
    </row>
    <row r="71" customFormat="false" ht="15" hidden="false" customHeight="true" outlineLevel="0" collapsed="false">
      <c r="A71" s="4" t="n">
        <v>0.473</v>
      </c>
      <c r="B71" s="18" t="s">
        <v>23</v>
      </c>
      <c r="C71" s="4" t="n">
        <v>0.901</v>
      </c>
      <c r="D71" s="4" t="s">
        <v>70</v>
      </c>
      <c r="E71" s="4" t="n">
        <v>0.796</v>
      </c>
      <c r="F71" s="4" t="n">
        <v>2</v>
      </c>
      <c r="G71" s="4" t="n">
        <v>0.17</v>
      </c>
      <c r="H71" s="4" t="n">
        <v>1</v>
      </c>
      <c r="I71" s="4" t="n">
        <v>0.085</v>
      </c>
      <c r="J71" s="4" t="s">
        <v>28</v>
      </c>
      <c r="K71" s="4" t="n">
        <v>0.515</v>
      </c>
      <c r="L71" s="4" t="s">
        <v>18</v>
      </c>
      <c r="M71" s="4" t="s">
        <v>204</v>
      </c>
      <c r="N71" s="4" t="s">
        <v>205</v>
      </c>
      <c r="O71" s="21" t="n">
        <v>130</v>
      </c>
      <c r="P71" s="19" t="n">
        <v>5</v>
      </c>
    </row>
    <row r="72" customFormat="false" ht="15" hidden="false" customHeight="true" outlineLevel="0" collapsed="false">
      <c r="A72" s="7" t="n">
        <v>0.633</v>
      </c>
      <c r="B72" s="16" t="s">
        <v>57</v>
      </c>
      <c r="C72" s="7" t="n">
        <v>0.335</v>
      </c>
      <c r="D72" s="7" t="s">
        <v>17</v>
      </c>
      <c r="E72" s="7" t="n">
        <v>0.818</v>
      </c>
      <c r="F72" s="7" t="n">
        <v>2</v>
      </c>
      <c r="G72" s="7" t="n">
        <v>0.751</v>
      </c>
      <c r="H72" s="7" t="n">
        <v>2</v>
      </c>
      <c r="I72" s="7" t="n">
        <v>0.673</v>
      </c>
      <c r="J72" s="7" t="s">
        <v>16</v>
      </c>
      <c r="K72" s="7" t="n">
        <v>0.225</v>
      </c>
      <c r="L72" s="7" t="s">
        <v>18</v>
      </c>
      <c r="M72" s="7" t="s">
        <v>205</v>
      </c>
      <c r="N72" s="7" t="s">
        <v>206</v>
      </c>
      <c r="O72" s="20" t="n">
        <v>130</v>
      </c>
      <c r="P72" s="17" t="n">
        <v>70</v>
      </c>
    </row>
    <row r="73" customFormat="false" ht="15" hidden="false" customHeight="true" outlineLevel="0" collapsed="false">
      <c r="A73" s="4" t="n">
        <v>0.199</v>
      </c>
      <c r="B73" s="18" t="s">
        <v>14</v>
      </c>
      <c r="C73" s="4" t="n">
        <v>0.024</v>
      </c>
      <c r="D73" s="4" t="s">
        <v>17</v>
      </c>
      <c r="E73" s="4" t="n">
        <v>0.245</v>
      </c>
      <c r="F73" s="4" t="n">
        <v>1</v>
      </c>
      <c r="G73" s="4" t="n">
        <v>0.475</v>
      </c>
      <c r="H73" s="4" t="n">
        <v>1</v>
      </c>
      <c r="I73" s="4" t="n">
        <v>0.85</v>
      </c>
      <c r="J73" s="4" t="s">
        <v>16</v>
      </c>
      <c r="K73" s="4" t="n">
        <v>0.073</v>
      </c>
      <c r="L73" s="4" t="s">
        <v>18</v>
      </c>
      <c r="M73" s="4" t="s">
        <v>206</v>
      </c>
      <c r="N73" s="4" t="s">
        <v>207</v>
      </c>
      <c r="O73" s="21" t="n">
        <v>135</v>
      </c>
      <c r="P73" s="19" t="n">
        <v>10</v>
      </c>
    </row>
    <row r="74" customFormat="false" ht="15" hidden="false" customHeight="true" outlineLevel="0" collapsed="false">
      <c r="A74" s="7" t="n">
        <v>0.414</v>
      </c>
      <c r="B74" s="16" t="s">
        <v>36</v>
      </c>
      <c r="C74" s="7" t="n">
        <v>0.63</v>
      </c>
      <c r="D74" s="7" t="s">
        <v>29</v>
      </c>
      <c r="E74" s="7" t="n">
        <v>0.194</v>
      </c>
      <c r="F74" s="7" t="n">
        <v>1</v>
      </c>
      <c r="G74" s="7" t="n">
        <v>0.696</v>
      </c>
      <c r="H74" s="7" t="n">
        <v>2</v>
      </c>
      <c r="I74" s="7" t="n">
        <v>0.494</v>
      </c>
      <c r="J74" s="7" t="s">
        <v>28</v>
      </c>
      <c r="K74" s="7" t="n">
        <v>0.244</v>
      </c>
      <c r="L74" s="7" t="s">
        <v>18</v>
      </c>
      <c r="M74" s="7" t="s">
        <v>207</v>
      </c>
      <c r="N74" s="7" t="s">
        <v>208</v>
      </c>
      <c r="O74" s="20" t="n">
        <v>136</v>
      </c>
      <c r="P74" s="17" t="n">
        <v>10</v>
      </c>
    </row>
    <row r="75" customFormat="false" ht="15" hidden="false" customHeight="true" outlineLevel="0" collapsed="false">
      <c r="A75" s="4" t="n">
        <v>0.656</v>
      </c>
      <c r="B75" s="18" t="s">
        <v>57</v>
      </c>
      <c r="C75" s="4" t="n">
        <v>0.006</v>
      </c>
      <c r="D75" s="4" t="s">
        <v>17</v>
      </c>
      <c r="E75" s="4" t="n">
        <v>0.751</v>
      </c>
      <c r="F75" s="4" t="n">
        <v>2</v>
      </c>
      <c r="G75" s="4" t="n">
        <v>0.77</v>
      </c>
      <c r="H75" s="4" t="n">
        <v>2</v>
      </c>
      <c r="I75" s="4" t="n">
        <v>0.107</v>
      </c>
      <c r="J75" s="4" t="s">
        <v>28</v>
      </c>
      <c r="K75" s="4" t="n">
        <v>0.425</v>
      </c>
      <c r="L75" s="4" t="s">
        <v>18</v>
      </c>
      <c r="M75" s="4" t="s">
        <v>208</v>
      </c>
      <c r="N75" s="4" t="s">
        <v>209</v>
      </c>
      <c r="O75" s="21" t="n">
        <v>136</v>
      </c>
      <c r="P75" s="19" t="n">
        <v>70</v>
      </c>
    </row>
    <row r="76" customFormat="false" ht="15" hidden="false" customHeight="true" outlineLevel="0" collapsed="false">
      <c r="A76" s="7" t="n">
        <v>0.176</v>
      </c>
      <c r="B76" s="16" t="s">
        <v>14</v>
      </c>
      <c r="C76" s="7" t="n">
        <v>0.958</v>
      </c>
      <c r="D76" s="7" t="s">
        <v>95</v>
      </c>
      <c r="E76" s="7" t="n">
        <v>0.518</v>
      </c>
      <c r="F76" s="7" t="n">
        <v>1</v>
      </c>
      <c r="G76" s="7" t="n">
        <v>0.05</v>
      </c>
      <c r="H76" s="7" t="n">
        <v>1</v>
      </c>
      <c r="I76" s="7" t="n">
        <v>0.249</v>
      </c>
      <c r="J76" s="7" t="s">
        <v>28</v>
      </c>
      <c r="K76" s="7" t="n">
        <v>0.848</v>
      </c>
      <c r="L76" s="7" t="s">
        <v>136</v>
      </c>
      <c r="M76" s="7" t="s">
        <v>209</v>
      </c>
      <c r="N76" s="7" t="s">
        <v>210</v>
      </c>
      <c r="O76" s="20" t="n">
        <v>141</v>
      </c>
      <c r="P76" s="17" t="n">
        <v>10</v>
      </c>
    </row>
    <row r="77" customFormat="false" ht="15" hidden="false" customHeight="true" outlineLevel="0" collapsed="false">
      <c r="A77" s="4" t="n">
        <v>0.456</v>
      </c>
      <c r="B77" s="18" t="s">
        <v>23</v>
      </c>
      <c r="C77" s="4" t="n">
        <v>0.801</v>
      </c>
      <c r="D77" s="4" t="s">
        <v>70</v>
      </c>
      <c r="E77" s="4" t="n">
        <v>0.668</v>
      </c>
      <c r="F77" s="4" t="n">
        <v>2</v>
      </c>
      <c r="G77" s="4" t="n">
        <v>0.988</v>
      </c>
      <c r="H77" s="4" t="n">
        <v>4</v>
      </c>
      <c r="I77" s="4" t="n">
        <v>0.595</v>
      </c>
      <c r="J77" s="4" t="s">
        <v>16</v>
      </c>
      <c r="K77" s="4" t="n">
        <v>0.95</v>
      </c>
      <c r="L77" s="4" t="s">
        <v>136</v>
      </c>
      <c r="M77" s="4" t="s">
        <v>210</v>
      </c>
      <c r="N77" s="4" t="s">
        <v>211</v>
      </c>
      <c r="O77" s="21" t="n">
        <v>141</v>
      </c>
      <c r="P77" s="19" t="n">
        <v>20</v>
      </c>
    </row>
    <row r="78" customFormat="false" ht="15" hidden="false" customHeight="true" outlineLevel="0" collapsed="false">
      <c r="A78" s="7" t="n">
        <v>0.891</v>
      </c>
      <c r="B78" s="16" t="s">
        <v>46</v>
      </c>
      <c r="C78" s="7" t="n">
        <v>0.613</v>
      </c>
      <c r="D78" s="7" t="s">
        <v>29</v>
      </c>
      <c r="E78" s="7" t="n">
        <v>0.719</v>
      </c>
      <c r="F78" s="7" t="n">
        <v>2</v>
      </c>
      <c r="G78" s="7" t="n">
        <v>0.505</v>
      </c>
      <c r="H78" s="7" t="n">
        <v>1</v>
      </c>
      <c r="I78" s="7" t="n">
        <v>0.831</v>
      </c>
      <c r="J78" s="7" t="s">
        <v>16</v>
      </c>
      <c r="K78" s="7" t="n">
        <v>0.548</v>
      </c>
      <c r="L78" s="7" t="s">
        <v>136</v>
      </c>
      <c r="M78" s="7" t="s">
        <v>211</v>
      </c>
      <c r="N78" s="7" t="s">
        <v>212</v>
      </c>
      <c r="O78" s="20" t="n">
        <v>147</v>
      </c>
      <c r="P78" s="17" t="n">
        <v>15</v>
      </c>
    </row>
    <row r="79" customFormat="false" ht="15" hidden="false" customHeight="true" outlineLevel="0" collapsed="false">
      <c r="A79" s="4" t="n">
        <v>0.897</v>
      </c>
      <c r="B79" s="18" t="s">
        <v>46</v>
      </c>
      <c r="C79" s="4" t="n">
        <v>0.744</v>
      </c>
      <c r="D79" s="4" t="s">
        <v>29</v>
      </c>
      <c r="E79" s="4" t="n">
        <v>0.475</v>
      </c>
      <c r="F79" s="4" t="n">
        <v>1</v>
      </c>
      <c r="G79" s="4" t="n">
        <v>0.259</v>
      </c>
      <c r="H79" s="4" t="n">
        <v>1</v>
      </c>
      <c r="I79" s="4" t="n">
        <v>0.247</v>
      </c>
      <c r="J79" s="4" t="s">
        <v>28</v>
      </c>
      <c r="K79" s="4" t="n">
        <v>0.638</v>
      </c>
      <c r="L79" s="4" t="s">
        <v>136</v>
      </c>
      <c r="M79" s="4" t="s">
        <v>212</v>
      </c>
      <c r="N79" s="4" t="s">
        <v>213</v>
      </c>
      <c r="O79" s="21" t="n">
        <v>148</v>
      </c>
      <c r="P79" s="19" t="n">
        <v>15</v>
      </c>
    </row>
    <row r="80" customFormat="false" ht="15" hidden="false" customHeight="true" outlineLevel="0" collapsed="false">
      <c r="A80" s="7" t="n">
        <v>0.766</v>
      </c>
      <c r="B80" s="16" t="s">
        <v>66</v>
      </c>
      <c r="C80" s="7" t="n">
        <v>0.521</v>
      </c>
      <c r="D80" s="7" t="s">
        <v>29</v>
      </c>
      <c r="E80" s="7" t="n">
        <v>0.627</v>
      </c>
      <c r="F80" s="7" t="n">
        <v>1</v>
      </c>
      <c r="G80" s="7" t="n">
        <v>0.275</v>
      </c>
      <c r="H80" s="7" t="n">
        <v>1</v>
      </c>
      <c r="I80" s="7" t="n">
        <v>0.077</v>
      </c>
      <c r="J80" s="7" t="s">
        <v>28</v>
      </c>
      <c r="K80" s="7" t="n">
        <v>0.286</v>
      </c>
      <c r="L80" s="7" t="s">
        <v>18</v>
      </c>
      <c r="M80" s="7" t="s">
        <v>213</v>
      </c>
      <c r="N80" s="7" t="s">
        <v>214</v>
      </c>
      <c r="O80" s="20" t="n">
        <v>149</v>
      </c>
      <c r="P80" s="17" t="n">
        <v>55</v>
      </c>
    </row>
    <row r="81" customFormat="false" ht="15" hidden="false" customHeight="true" outlineLevel="0" collapsed="false">
      <c r="A81" s="4" t="n">
        <v>0.272</v>
      </c>
      <c r="B81" s="18" t="s">
        <v>14</v>
      </c>
      <c r="C81" s="4" t="n">
        <v>0.32</v>
      </c>
      <c r="D81" s="4" t="s">
        <v>17</v>
      </c>
      <c r="E81" s="4" t="n">
        <v>0.54</v>
      </c>
      <c r="F81" s="4" t="n">
        <v>1</v>
      </c>
      <c r="G81" s="4" t="n">
        <v>0.138</v>
      </c>
      <c r="H81" s="4" t="n">
        <v>1</v>
      </c>
      <c r="I81" s="4" t="n">
        <v>0.231</v>
      </c>
      <c r="J81" s="4" t="s">
        <v>28</v>
      </c>
      <c r="K81" s="4" t="n">
        <v>0.694</v>
      </c>
      <c r="L81" s="4" t="s">
        <v>136</v>
      </c>
      <c r="M81" s="4" t="s">
        <v>214</v>
      </c>
      <c r="N81" s="4" t="s">
        <v>215</v>
      </c>
      <c r="O81" s="21" t="n">
        <v>152</v>
      </c>
      <c r="P81" s="19" t="n">
        <v>10</v>
      </c>
    </row>
    <row r="82" customFormat="false" ht="15" hidden="false" customHeight="true" outlineLevel="0" collapsed="false">
      <c r="A82" s="7" t="n">
        <v>0.706</v>
      </c>
      <c r="B82" s="16" t="s">
        <v>40</v>
      </c>
      <c r="C82" s="7" t="n">
        <v>0.064</v>
      </c>
      <c r="D82" s="7" t="s">
        <v>17</v>
      </c>
      <c r="E82" s="7" t="n">
        <v>0.408</v>
      </c>
      <c r="F82" s="7" t="n">
        <v>1</v>
      </c>
      <c r="G82" s="7" t="n">
        <v>0.543</v>
      </c>
      <c r="H82" s="7" t="n">
        <v>1</v>
      </c>
      <c r="I82" s="7" t="n">
        <v>0.416</v>
      </c>
      <c r="J82" s="7" t="s">
        <v>28</v>
      </c>
      <c r="K82" s="7" t="n">
        <v>0.207</v>
      </c>
      <c r="L82" s="7" t="s">
        <v>18</v>
      </c>
      <c r="M82" s="7" t="s">
        <v>215</v>
      </c>
      <c r="N82" s="7" t="s">
        <v>216</v>
      </c>
      <c r="O82" s="20" t="n">
        <v>153</v>
      </c>
      <c r="P82" s="17" t="n">
        <v>65</v>
      </c>
    </row>
    <row r="83" customFormat="false" ht="15" hidden="false" customHeight="true" outlineLevel="0" collapsed="false">
      <c r="A83" s="4" t="n">
        <v>0.42</v>
      </c>
      <c r="B83" s="18" t="s">
        <v>36</v>
      </c>
      <c r="C83" s="4" t="n">
        <v>0.905</v>
      </c>
      <c r="D83" s="4" t="s">
        <v>70</v>
      </c>
      <c r="E83" s="4" t="n">
        <v>0.584</v>
      </c>
      <c r="F83" s="4" t="n">
        <v>1</v>
      </c>
      <c r="G83" s="4" t="n">
        <v>0.696</v>
      </c>
      <c r="H83" s="4" t="n">
        <v>2</v>
      </c>
      <c r="I83" s="4" t="n">
        <v>0.857</v>
      </c>
      <c r="J83" s="4" t="s">
        <v>16</v>
      </c>
      <c r="K83" s="4" t="n">
        <v>0.766</v>
      </c>
      <c r="L83" s="4" t="s">
        <v>136</v>
      </c>
      <c r="M83" s="4" t="s">
        <v>216</v>
      </c>
      <c r="N83" s="4" t="s">
        <v>217</v>
      </c>
      <c r="O83" s="21" t="n">
        <v>156</v>
      </c>
      <c r="P83" s="19" t="n">
        <v>10</v>
      </c>
    </row>
    <row r="84" customFormat="false" ht="15" hidden="false" customHeight="true" outlineLevel="0" collapsed="false">
      <c r="A84" s="7" t="n">
        <v>0.38</v>
      </c>
      <c r="B84" s="16" t="s">
        <v>36</v>
      </c>
      <c r="C84" s="7" t="n">
        <v>0.006</v>
      </c>
      <c r="D84" s="7" t="s">
        <v>17</v>
      </c>
      <c r="E84" s="7" t="n">
        <v>0.352</v>
      </c>
      <c r="F84" s="7" t="n">
        <v>1</v>
      </c>
      <c r="G84" s="7" t="n">
        <v>0.753</v>
      </c>
      <c r="H84" s="7" t="n">
        <v>2</v>
      </c>
      <c r="I84" s="7" t="n">
        <v>0.853</v>
      </c>
      <c r="J84" s="7" t="s">
        <v>16</v>
      </c>
      <c r="K84" s="7" t="n">
        <v>0.953</v>
      </c>
      <c r="L84" s="7" t="s">
        <v>136</v>
      </c>
      <c r="M84" s="7" t="s">
        <v>217</v>
      </c>
      <c r="N84" s="7" t="s">
        <v>218</v>
      </c>
      <c r="O84" s="20" t="n">
        <v>157</v>
      </c>
      <c r="P84" s="17" t="n">
        <v>10</v>
      </c>
    </row>
    <row r="85" customFormat="false" ht="15" hidden="false" customHeight="true" outlineLevel="0" collapsed="false">
      <c r="A85" s="4" t="n">
        <v>0.419</v>
      </c>
      <c r="B85" s="18" t="s">
        <v>36</v>
      </c>
      <c r="C85" s="4" t="n">
        <v>0.748</v>
      </c>
      <c r="D85" s="4" t="s">
        <v>29</v>
      </c>
      <c r="E85" s="4" t="n">
        <v>0.546</v>
      </c>
      <c r="F85" s="4" t="n">
        <v>1</v>
      </c>
      <c r="G85" s="4" t="n">
        <v>0.603</v>
      </c>
      <c r="H85" s="4" t="n">
        <v>2</v>
      </c>
      <c r="I85" s="4" t="n">
        <v>0.221</v>
      </c>
      <c r="J85" s="4" t="s">
        <v>28</v>
      </c>
      <c r="K85" s="4" t="n">
        <v>0.219</v>
      </c>
      <c r="L85" s="4" t="s">
        <v>18</v>
      </c>
      <c r="M85" s="4" t="s">
        <v>218</v>
      </c>
      <c r="N85" s="4" t="s">
        <v>219</v>
      </c>
      <c r="O85" s="21" t="n">
        <v>158</v>
      </c>
      <c r="P85" s="19" t="n">
        <v>10</v>
      </c>
    </row>
    <row r="86" customFormat="false" ht="15" hidden="false" customHeight="true" outlineLevel="0" collapsed="false">
      <c r="A86" s="7" t="n">
        <v>0.436</v>
      </c>
      <c r="B86" s="16" t="s">
        <v>23</v>
      </c>
      <c r="C86" s="7" t="n">
        <v>0.029</v>
      </c>
      <c r="D86" s="7" t="s">
        <v>17</v>
      </c>
      <c r="E86" s="7" t="n">
        <v>0.336</v>
      </c>
      <c r="F86" s="7" t="n">
        <v>1</v>
      </c>
      <c r="G86" s="7" t="n">
        <v>0.679</v>
      </c>
      <c r="H86" s="7" t="n">
        <v>2</v>
      </c>
      <c r="I86" s="7" t="n">
        <v>0.404</v>
      </c>
      <c r="J86" s="7" t="s">
        <v>28</v>
      </c>
      <c r="K86" s="7" t="n">
        <v>0.165</v>
      </c>
      <c r="L86" s="7" t="s">
        <v>18</v>
      </c>
      <c r="M86" s="7" t="s">
        <v>219</v>
      </c>
      <c r="N86" s="7" t="s">
        <v>220</v>
      </c>
      <c r="O86" s="20" t="n">
        <v>159</v>
      </c>
      <c r="P86" s="17" t="n">
        <v>10</v>
      </c>
    </row>
    <row r="87" customFormat="false" ht="15" hidden="false" customHeight="true" outlineLevel="0" collapsed="false">
      <c r="A87" s="4" t="n">
        <v>0.467</v>
      </c>
      <c r="B87" s="18" t="s">
        <v>23</v>
      </c>
      <c r="C87" s="4" t="n">
        <v>0.128</v>
      </c>
      <c r="D87" s="4" t="s">
        <v>17</v>
      </c>
      <c r="E87" s="4" t="n">
        <v>0.622</v>
      </c>
      <c r="F87" s="4" t="n">
        <v>1</v>
      </c>
      <c r="G87" s="4" t="n">
        <v>0.027</v>
      </c>
      <c r="H87" s="4" t="n">
        <v>1</v>
      </c>
      <c r="I87" s="4" t="n">
        <v>0.394</v>
      </c>
      <c r="J87" s="4" t="s">
        <v>28</v>
      </c>
      <c r="K87" s="4" t="n">
        <v>0.564</v>
      </c>
      <c r="L87" s="4" t="s">
        <v>136</v>
      </c>
      <c r="M87" s="4" t="s">
        <v>220</v>
      </c>
      <c r="N87" s="4" t="s">
        <v>221</v>
      </c>
      <c r="O87" s="21" t="n">
        <v>162</v>
      </c>
      <c r="P87" s="19" t="n">
        <v>5</v>
      </c>
    </row>
    <row r="88" customFormat="false" ht="15" hidden="false" customHeight="true" outlineLevel="0" collapsed="false">
      <c r="A88" s="7" t="n">
        <v>0.027</v>
      </c>
      <c r="B88" s="16" t="s">
        <v>14</v>
      </c>
      <c r="C88" s="7" t="n">
        <v>0.643</v>
      </c>
      <c r="D88" s="7" t="s">
        <v>29</v>
      </c>
      <c r="E88" s="7" t="n">
        <v>0.136</v>
      </c>
      <c r="F88" s="7" t="n">
        <v>1</v>
      </c>
      <c r="G88" s="7" t="n">
        <v>0.462</v>
      </c>
      <c r="H88" s="7" t="n">
        <v>1</v>
      </c>
      <c r="I88" s="7" t="n">
        <v>0.05</v>
      </c>
      <c r="J88" s="7" t="s">
        <v>28</v>
      </c>
      <c r="K88" s="7" t="n">
        <v>0.379</v>
      </c>
      <c r="L88" s="7" t="s">
        <v>18</v>
      </c>
      <c r="M88" s="7" t="s">
        <v>221</v>
      </c>
      <c r="N88" s="7" t="s">
        <v>222</v>
      </c>
      <c r="O88" s="20" t="n">
        <v>163</v>
      </c>
      <c r="P88" s="17" t="n">
        <v>10</v>
      </c>
    </row>
    <row r="89" customFormat="false" ht="15" hidden="false" customHeight="true" outlineLevel="0" collapsed="false">
      <c r="A89" s="4" t="n">
        <v>0.212</v>
      </c>
      <c r="B89" s="18" t="s">
        <v>14</v>
      </c>
      <c r="C89" s="4" t="n">
        <v>0.327</v>
      </c>
      <c r="D89" s="4" t="s">
        <v>17</v>
      </c>
      <c r="E89" s="4" t="n">
        <v>0.761</v>
      </c>
      <c r="F89" s="4" t="n">
        <v>2</v>
      </c>
      <c r="G89" s="4" t="n">
        <v>0.379</v>
      </c>
      <c r="H89" s="4" t="n">
        <v>1</v>
      </c>
      <c r="I89" s="4" t="n">
        <v>0.752</v>
      </c>
      <c r="J89" s="4" t="s">
        <v>16</v>
      </c>
      <c r="K89" s="4" t="n">
        <v>0.832</v>
      </c>
      <c r="L89" s="4" t="s">
        <v>136</v>
      </c>
      <c r="M89" s="4" t="s">
        <v>222</v>
      </c>
      <c r="N89" s="4" t="s">
        <v>223</v>
      </c>
      <c r="O89" s="21" t="n">
        <v>163</v>
      </c>
      <c r="P89" s="19" t="n">
        <v>10</v>
      </c>
    </row>
    <row r="90" customFormat="false" ht="15" hidden="false" customHeight="true" outlineLevel="0" collapsed="false">
      <c r="A90" s="7" t="n">
        <v>0.252</v>
      </c>
      <c r="B90" s="16" t="s">
        <v>14</v>
      </c>
      <c r="C90" s="7" t="n">
        <v>0.082</v>
      </c>
      <c r="D90" s="7" t="s">
        <v>17</v>
      </c>
      <c r="E90" s="7" t="n">
        <v>0.019</v>
      </c>
      <c r="F90" s="7" t="n">
        <v>1</v>
      </c>
      <c r="G90" s="7" t="n">
        <v>0.539</v>
      </c>
      <c r="H90" s="7" t="n">
        <v>1</v>
      </c>
      <c r="I90" s="7" t="n">
        <v>1</v>
      </c>
      <c r="J90" s="7" t="s">
        <v>38</v>
      </c>
      <c r="K90" s="7" t="n">
        <v>0.35</v>
      </c>
      <c r="L90" s="7" t="s">
        <v>18</v>
      </c>
      <c r="M90" s="7" t="s">
        <v>223</v>
      </c>
      <c r="N90" s="7" t="s">
        <v>224</v>
      </c>
      <c r="O90" s="20" t="n">
        <v>164</v>
      </c>
      <c r="P90" s="17" t="n">
        <v>10</v>
      </c>
    </row>
    <row r="91" customFormat="false" ht="15" hidden="false" customHeight="true" outlineLevel="0" collapsed="false">
      <c r="A91" s="4" t="n">
        <v>0.65</v>
      </c>
      <c r="B91" s="18" t="s">
        <v>57</v>
      </c>
      <c r="C91" s="4" t="n">
        <v>0.781</v>
      </c>
      <c r="D91" s="4" t="s">
        <v>70</v>
      </c>
      <c r="E91" s="4" t="n">
        <v>0.652</v>
      </c>
      <c r="F91" s="4" t="n">
        <v>2</v>
      </c>
      <c r="G91" s="4" t="n">
        <v>0.754</v>
      </c>
      <c r="H91" s="4" t="n">
        <v>2</v>
      </c>
      <c r="I91" s="4" t="n">
        <v>0.95</v>
      </c>
      <c r="J91" s="4" t="s">
        <v>38</v>
      </c>
      <c r="K91" s="4" t="n">
        <v>0.199</v>
      </c>
      <c r="L91" s="4" t="s">
        <v>18</v>
      </c>
      <c r="M91" s="4" t="s">
        <v>224</v>
      </c>
      <c r="N91" s="4" t="s">
        <v>225</v>
      </c>
      <c r="O91" s="21" t="n">
        <v>164</v>
      </c>
      <c r="P91" s="19" t="n">
        <v>70</v>
      </c>
    </row>
    <row r="92" customFormat="false" ht="15" hidden="false" customHeight="true" outlineLevel="0" collapsed="false">
      <c r="A92" s="7" t="n">
        <v>0.02</v>
      </c>
      <c r="B92" s="16" t="s">
        <v>14</v>
      </c>
      <c r="C92" s="7" t="n">
        <v>0.152</v>
      </c>
      <c r="D92" s="7" t="s">
        <v>17</v>
      </c>
      <c r="E92" s="7" t="n">
        <v>0.126</v>
      </c>
      <c r="F92" s="7" t="n">
        <v>1</v>
      </c>
      <c r="G92" s="7" t="n">
        <v>0.669</v>
      </c>
      <c r="H92" s="7" t="n">
        <v>2</v>
      </c>
      <c r="I92" s="7" t="n">
        <v>0.564</v>
      </c>
      <c r="J92" s="7" t="s">
        <v>16</v>
      </c>
      <c r="K92" s="7" t="n">
        <v>0.218</v>
      </c>
      <c r="L92" s="7" t="s">
        <v>18</v>
      </c>
      <c r="M92" s="7" t="s">
        <v>225</v>
      </c>
      <c r="N92" s="7" t="s">
        <v>226</v>
      </c>
      <c r="O92" s="20" t="n">
        <v>169</v>
      </c>
      <c r="P92" s="17" t="n">
        <v>20</v>
      </c>
    </row>
    <row r="93" customFormat="false" ht="15" hidden="false" customHeight="true" outlineLevel="0" collapsed="false">
      <c r="A93" s="4" t="n">
        <v>0.699</v>
      </c>
      <c r="B93" s="18" t="s">
        <v>57</v>
      </c>
      <c r="C93" s="4" t="n">
        <v>0.767</v>
      </c>
      <c r="D93" s="4" t="s">
        <v>70</v>
      </c>
      <c r="E93" s="4" t="n">
        <v>0.168</v>
      </c>
      <c r="F93" s="4" t="n">
        <v>1</v>
      </c>
      <c r="G93" s="4" t="n">
        <v>0.607</v>
      </c>
      <c r="H93" s="4" t="n">
        <v>2</v>
      </c>
      <c r="I93" s="4" t="n">
        <v>0.748</v>
      </c>
      <c r="J93" s="4" t="s">
        <v>16</v>
      </c>
      <c r="K93" s="4" t="n">
        <v>0.115</v>
      </c>
      <c r="L93" s="4" t="s">
        <v>18</v>
      </c>
      <c r="M93" s="4" t="s">
        <v>226</v>
      </c>
      <c r="N93" s="4" t="s">
        <v>227</v>
      </c>
      <c r="O93" s="21" t="n">
        <v>172</v>
      </c>
      <c r="P93" s="19" t="n">
        <v>70</v>
      </c>
    </row>
    <row r="94" customFormat="false" ht="15" hidden="false" customHeight="true" outlineLevel="0" collapsed="false">
      <c r="A94" s="7" t="n">
        <v>0.819</v>
      </c>
      <c r="B94" s="16" t="s">
        <v>54</v>
      </c>
      <c r="C94" s="7" t="n">
        <v>0.965</v>
      </c>
      <c r="D94" s="7" t="s">
        <v>95</v>
      </c>
      <c r="E94" s="7" t="n">
        <v>0.108</v>
      </c>
      <c r="F94" s="7" t="n">
        <v>1</v>
      </c>
      <c r="G94" s="7" t="n">
        <v>0.026</v>
      </c>
      <c r="H94" s="7" t="n">
        <v>1</v>
      </c>
      <c r="I94" s="7" t="n">
        <v>0.312</v>
      </c>
      <c r="J94" s="7" t="s">
        <v>28</v>
      </c>
      <c r="K94" s="7" t="n">
        <v>0.677</v>
      </c>
      <c r="L94" s="7" t="s">
        <v>136</v>
      </c>
      <c r="M94" s="7" t="s">
        <v>227</v>
      </c>
      <c r="N94" s="7" t="s">
        <v>228</v>
      </c>
      <c r="O94" s="20" t="n">
        <v>177</v>
      </c>
      <c r="P94" s="17" t="n">
        <v>45</v>
      </c>
    </row>
    <row r="95" customFormat="false" ht="15" hidden="false" customHeight="true" outlineLevel="0" collapsed="false">
      <c r="A95" s="4" t="n">
        <v>0.958</v>
      </c>
      <c r="B95" s="18" t="s">
        <v>88</v>
      </c>
      <c r="C95" s="4" t="n">
        <v>0.397</v>
      </c>
      <c r="D95" s="4" t="s">
        <v>29</v>
      </c>
      <c r="E95" s="4" t="n">
        <v>0.715</v>
      </c>
      <c r="F95" s="4" t="n">
        <v>2</v>
      </c>
      <c r="G95" s="4" t="n">
        <v>0.076</v>
      </c>
      <c r="H95" s="4" t="n">
        <v>1</v>
      </c>
      <c r="I95" s="4" t="n">
        <v>0.691</v>
      </c>
      <c r="J95" s="4" t="s">
        <v>16</v>
      </c>
      <c r="K95" s="4" t="n">
        <v>0.627</v>
      </c>
      <c r="L95" s="4" t="s">
        <v>136</v>
      </c>
      <c r="M95" s="4" t="s">
        <v>228</v>
      </c>
      <c r="N95" s="4" t="s">
        <v>229</v>
      </c>
      <c r="O95" s="21" t="n">
        <v>179</v>
      </c>
      <c r="P95" s="19" t="n">
        <v>10</v>
      </c>
    </row>
    <row r="96" customFormat="false" ht="15" hidden="false" customHeight="true" outlineLevel="0" collapsed="false">
      <c r="A96" s="7" t="n">
        <v>0.102</v>
      </c>
      <c r="B96" s="16" t="s">
        <v>14</v>
      </c>
      <c r="C96" s="7" t="n">
        <v>0.772</v>
      </c>
      <c r="D96" s="7" t="s">
        <v>70</v>
      </c>
      <c r="E96" s="7" t="n">
        <v>0.85</v>
      </c>
      <c r="F96" s="7" t="n">
        <v>3</v>
      </c>
      <c r="G96" s="7" t="n">
        <v>0.6</v>
      </c>
      <c r="H96" s="7" t="n">
        <v>2</v>
      </c>
      <c r="I96" s="7" t="n">
        <v>0.121</v>
      </c>
      <c r="J96" s="7" t="s">
        <v>28</v>
      </c>
      <c r="K96" s="7" t="n">
        <v>0.984</v>
      </c>
      <c r="L96" s="7" t="s">
        <v>136</v>
      </c>
      <c r="M96" s="7" t="s">
        <v>229</v>
      </c>
      <c r="N96" s="7" t="s">
        <v>230</v>
      </c>
      <c r="O96" s="20" t="n">
        <v>177</v>
      </c>
      <c r="P96" s="17" t="n">
        <v>20</v>
      </c>
    </row>
    <row r="97" customFormat="false" ht="15" hidden="false" customHeight="true" outlineLevel="0" collapsed="false">
      <c r="A97" s="4" t="n">
        <v>0.783</v>
      </c>
      <c r="B97" s="18" t="s">
        <v>66</v>
      </c>
      <c r="C97" s="4" t="n">
        <v>0.347</v>
      </c>
      <c r="D97" s="4" t="s">
        <v>17</v>
      </c>
      <c r="E97" s="4" t="n">
        <v>0.428</v>
      </c>
      <c r="F97" s="4" t="n">
        <v>1</v>
      </c>
      <c r="G97" s="4" t="n">
        <v>0.371</v>
      </c>
      <c r="H97" s="4" t="n">
        <v>1</v>
      </c>
      <c r="I97" s="4" t="n">
        <v>0.506</v>
      </c>
      <c r="J97" s="4" t="s">
        <v>28</v>
      </c>
      <c r="K97" s="4" t="n">
        <v>0.341</v>
      </c>
      <c r="L97" s="4" t="s">
        <v>18</v>
      </c>
      <c r="M97" s="4" t="s">
        <v>230</v>
      </c>
      <c r="N97" s="4" t="s">
        <v>231</v>
      </c>
      <c r="O97" s="21" t="n">
        <v>180</v>
      </c>
      <c r="P97" s="19" t="n">
        <v>55</v>
      </c>
    </row>
    <row r="98" customFormat="false" ht="15" hidden="false" customHeight="true" outlineLevel="0" collapsed="false">
      <c r="A98" s="7" t="n">
        <v>0.85</v>
      </c>
      <c r="B98" s="16" t="s">
        <v>54</v>
      </c>
      <c r="C98" s="7" t="n">
        <v>0.822</v>
      </c>
      <c r="D98" s="7" t="s">
        <v>70</v>
      </c>
      <c r="E98" s="7" t="n">
        <v>0.106</v>
      </c>
      <c r="F98" s="7" t="n">
        <v>1</v>
      </c>
      <c r="G98" s="7" t="n">
        <v>0.961</v>
      </c>
      <c r="H98" s="7" t="n">
        <v>4</v>
      </c>
      <c r="I98" s="7" t="n">
        <v>0.636</v>
      </c>
      <c r="J98" s="7" t="s">
        <v>16</v>
      </c>
      <c r="K98" s="7" t="n">
        <v>0.829</v>
      </c>
      <c r="L98" s="7" t="s">
        <v>136</v>
      </c>
      <c r="M98" s="7" t="s">
        <v>231</v>
      </c>
      <c r="N98" s="7" t="s">
        <v>232</v>
      </c>
      <c r="O98" s="20" t="n">
        <v>183</v>
      </c>
      <c r="P98" s="17" t="n">
        <v>180</v>
      </c>
    </row>
    <row r="99" customFormat="false" ht="15" hidden="false" customHeight="true" outlineLevel="0" collapsed="false">
      <c r="A99" s="4" t="n">
        <v>0.707</v>
      </c>
      <c r="B99" s="18" t="s">
        <v>40</v>
      </c>
      <c r="C99" s="4" t="n">
        <v>0.435</v>
      </c>
      <c r="D99" s="4" t="s">
        <v>29</v>
      </c>
      <c r="E99" s="4" t="n">
        <v>0.734</v>
      </c>
      <c r="F99" s="4" t="n">
        <v>2</v>
      </c>
      <c r="G99" s="4" t="n">
        <v>0.965</v>
      </c>
      <c r="H99" s="4" t="n">
        <v>4</v>
      </c>
      <c r="I99" s="4" t="n">
        <v>0.27</v>
      </c>
      <c r="J99" s="4" t="s">
        <v>28</v>
      </c>
      <c r="K99" s="4" t="n">
        <v>0.808</v>
      </c>
      <c r="L99" s="4" t="s">
        <v>136</v>
      </c>
      <c r="M99" s="4" t="s">
        <v>232</v>
      </c>
      <c r="N99" s="4" t="s">
        <v>233</v>
      </c>
      <c r="O99" s="21" t="n">
        <v>197</v>
      </c>
      <c r="P99" s="19" t="n">
        <v>260</v>
      </c>
    </row>
    <row r="100" customFormat="false" ht="15" hidden="false" customHeight="true" outlineLevel="0" collapsed="false">
      <c r="A100" s="7" t="n">
        <v>0.538</v>
      </c>
      <c r="B100" s="16" t="s">
        <v>32</v>
      </c>
      <c r="C100" s="7" t="n">
        <v>0.483</v>
      </c>
      <c r="D100" s="7" t="s">
        <v>29</v>
      </c>
      <c r="E100" s="7" t="n">
        <v>0.436</v>
      </c>
      <c r="F100" s="7" t="n">
        <v>1</v>
      </c>
      <c r="G100" s="7" t="n">
        <v>0.731</v>
      </c>
      <c r="H100" s="7" t="n">
        <v>2</v>
      </c>
      <c r="I100" s="7" t="n">
        <v>0.268</v>
      </c>
      <c r="J100" s="7" t="s">
        <v>28</v>
      </c>
      <c r="K100" s="7" t="n">
        <v>0.852</v>
      </c>
      <c r="L100" s="7" t="s">
        <v>136</v>
      </c>
      <c r="M100" s="7" t="s">
        <v>233</v>
      </c>
      <c r="N100" s="7" t="s">
        <v>234</v>
      </c>
      <c r="O100" s="20" t="n">
        <v>212</v>
      </c>
      <c r="P100" s="17" t="n">
        <v>40</v>
      </c>
    </row>
    <row r="101" customFormat="false" ht="15" hidden="false" customHeight="true" outlineLevel="0" collapsed="false">
      <c r="A101" s="4" t="n">
        <v>0.831</v>
      </c>
      <c r="B101" s="18" t="s">
        <v>54</v>
      </c>
      <c r="C101" s="4" t="n">
        <v>0.087</v>
      </c>
      <c r="D101" s="4" t="s">
        <v>17</v>
      </c>
      <c r="E101" s="4" t="n">
        <v>0.882</v>
      </c>
      <c r="F101" s="4" t="n">
        <v>3</v>
      </c>
      <c r="G101" s="4" t="n">
        <v>0.244</v>
      </c>
      <c r="H101" s="4" t="n">
        <v>1</v>
      </c>
      <c r="I101" s="4" t="n">
        <v>0.465</v>
      </c>
      <c r="J101" s="4" t="s">
        <v>28</v>
      </c>
      <c r="K101" s="4" t="n">
        <v>0.61</v>
      </c>
      <c r="L101" s="4" t="s">
        <v>136</v>
      </c>
      <c r="M101" s="4" t="s">
        <v>234</v>
      </c>
      <c r="N101" s="4" t="s">
        <v>235</v>
      </c>
      <c r="O101" s="21" t="n">
        <v>213</v>
      </c>
      <c r="P101" s="19" t="n">
        <v>45</v>
      </c>
    </row>
    <row r="102" customFormat="false" ht="15" hidden="false" customHeight="true" outlineLevel="0" collapsed="false">
      <c r="A102" s="7" t="n">
        <v>0.379</v>
      </c>
      <c r="B102" s="16" t="s">
        <v>36</v>
      </c>
      <c r="C102" s="7" t="n">
        <v>0.029</v>
      </c>
      <c r="D102" s="7" t="s">
        <v>17</v>
      </c>
      <c r="E102" s="7" t="n">
        <v>0.851</v>
      </c>
      <c r="F102" s="7" t="n">
        <v>3</v>
      </c>
      <c r="G102" s="7" t="n">
        <v>0.182</v>
      </c>
      <c r="H102" s="7" t="n">
        <v>1</v>
      </c>
      <c r="I102" s="7" t="n">
        <v>0.212</v>
      </c>
      <c r="J102" s="7" t="s">
        <v>28</v>
      </c>
      <c r="K102" s="7" t="n">
        <v>0.798</v>
      </c>
      <c r="L102" s="7" t="s">
        <v>136</v>
      </c>
      <c r="M102" s="7" t="s">
        <v>235</v>
      </c>
      <c r="N102" s="7" t="s">
        <v>236</v>
      </c>
      <c r="O102" s="20" t="n">
        <v>214</v>
      </c>
      <c r="P102" s="17" t="n">
        <v>5</v>
      </c>
    </row>
    <row r="103" customFormat="false" ht="15" hidden="false" customHeight="true" outlineLevel="0" collapsed="false">
      <c r="A103" s="4" t="n">
        <v>0.34</v>
      </c>
      <c r="B103" s="18" t="s">
        <v>36</v>
      </c>
      <c r="C103" s="4" t="n">
        <v>0.88</v>
      </c>
      <c r="D103" s="4" t="s">
        <v>70</v>
      </c>
      <c r="E103" s="4" t="n">
        <v>0.701</v>
      </c>
      <c r="F103" s="4" t="n">
        <v>2</v>
      </c>
      <c r="G103" s="4" t="n">
        <v>0.276</v>
      </c>
      <c r="H103" s="4" t="n">
        <v>1</v>
      </c>
      <c r="I103" s="4" t="n">
        <v>0.01</v>
      </c>
      <c r="J103" s="4" t="s">
        <v>28</v>
      </c>
      <c r="K103" s="4" t="n">
        <v>0.948</v>
      </c>
      <c r="L103" s="4" t="s">
        <v>136</v>
      </c>
      <c r="M103" s="4" t="s">
        <v>236</v>
      </c>
      <c r="N103" s="4" t="s">
        <v>237</v>
      </c>
      <c r="O103" s="21" t="n">
        <v>213</v>
      </c>
      <c r="P103" s="19" t="n">
        <v>5</v>
      </c>
    </row>
    <row r="104" customFormat="false" ht="15" hidden="false" customHeight="true" outlineLevel="0" collapsed="false">
      <c r="A104" s="7" t="n">
        <v>0.086</v>
      </c>
      <c r="B104" s="16" t="s">
        <v>14</v>
      </c>
      <c r="C104" s="7" t="n">
        <v>0.72</v>
      </c>
      <c r="D104" s="7" t="s">
        <v>29</v>
      </c>
      <c r="E104" s="7" t="n">
        <v>0.489</v>
      </c>
      <c r="F104" s="7" t="n">
        <v>1</v>
      </c>
      <c r="G104" s="7" t="n">
        <v>0.758</v>
      </c>
      <c r="H104" s="7" t="n">
        <v>2</v>
      </c>
      <c r="I104" s="7" t="n">
        <v>0.691</v>
      </c>
      <c r="J104" s="7" t="s">
        <v>16</v>
      </c>
      <c r="K104" s="7" t="n">
        <v>0.646</v>
      </c>
      <c r="L104" s="7" t="s">
        <v>136</v>
      </c>
      <c r="M104" s="7" t="s">
        <v>237</v>
      </c>
      <c r="N104" s="7" t="s">
        <v>238</v>
      </c>
      <c r="O104" s="20" t="n">
        <v>213</v>
      </c>
      <c r="P104" s="17" t="n">
        <v>20</v>
      </c>
    </row>
    <row r="105" customFormat="false" ht="15" hidden="false" customHeight="true" outlineLevel="0" collapsed="false">
      <c r="A105" s="4" t="n">
        <v>0.491</v>
      </c>
      <c r="B105" s="18" t="s">
        <v>23</v>
      </c>
      <c r="C105" s="4" t="n">
        <v>0.793</v>
      </c>
      <c r="D105" s="4" t="s">
        <v>70</v>
      </c>
      <c r="E105" s="4" t="n">
        <v>0.093</v>
      </c>
      <c r="F105" s="4" t="n">
        <v>1</v>
      </c>
      <c r="G105" s="4" t="n">
        <v>0.222</v>
      </c>
      <c r="H105" s="4" t="n">
        <v>1</v>
      </c>
      <c r="I105" s="4" t="n">
        <v>0.692</v>
      </c>
      <c r="J105" s="4" t="s">
        <v>16</v>
      </c>
      <c r="K105" s="4" t="n">
        <v>0.306</v>
      </c>
      <c r="L105" s="4" t="s">
        <v>18</v>
      </c>
      <c r="M105" s="4" t="s">
        <v>238</v>
      </c>
      <c r="N105" s="4" t="s">
        <v>239</v>
      </c>
      <c r="O105" s="21" t="n">
        <v>216</v>
      </c>
      <c r="P105" s="19" t="n">
        <v>5</v>
      </c>
    </row>
    <row r="106" customFormat="false" ht="15" hidden="false" customHeight="true" outlineLevel="0" collapsed="false">
      <c r="A106" s="7" t="n">
        <v>0.582</v>
      </c>
      <c r="B106" s="16" t="s">
        <v>32</v>
      </c>
      <c r="C106" s="7" t="n">
        <v>0.473</v>
      </c>
      <c r="D106" s="7" t="s">
        <v>29</v>
      </c>
      <c r="E106" s="7" t="n">
        <v>0.531</v>
      </c>
      <c r="F106" s="7" t="n">
        <v>1</v>
      </c>
      <c r="G106" s="7" t="n">
        <v>0.426</v>
      </c>
      <c r="H106" s="7" t="n">
        <v>1</v>
      </c>
      <c r="I106" s="7" t="n">
        <v>0.746</v>
      </c>
      <c r="J106" s="7" t="s">
        <v>16</v>
      </c>
      <c r="K106" s="7" t="n">
        <v>0.331</v>
      </c>
      <c r="L106" s="7" t="s">
        <v>18</v>
      </c>
      <c r="M106" s="7" t="s">
        <v>239</v>
      </c>
      <c r="N106" s="7" t="s">
        <v>240</v>
      </c>
      <c r="O106" s="20" t="n">
        <v>217</v>
      </c>
      <c r="P106" s="17" t="n">
        <v>20</v>
      </c>
    </row>
    <row r="107" customFormat="false" ht="15" hidden="false" customHeight="true" outlineLevel="0" collapsed="false">
      <c r="A107" s="4" t="n">
        <v>0.703</v>
      </c>
      <c r="B107" s="18" t="s">
        <v>40</v>
      </c>
      <c r="C107" s="4" t="n">
        <v>0.271</v>
      </c>
      <c r="D107" s="4" t="s">
        <v>17</v>
      </c>
      <c r="E107" s="4" t="n">
        <v>0.251</v>
      </c>
      <c r="F107" s="4" t="n">
        <v>1</v>
      </c>
      <c r="G107" s="4" t="n">
        <v>0.121</v>
      </c>
      <c r="H107" s="4" t="n">
        <v>1</v>
      </c>
      <c r="I107" s="4" t="n">
        <v>0.193</v>
      </c>
      <c r="J107" s="4" t="s">
        <v>28</v>
      </c>
      <c r="K107" s="4" t="n">
        <v>0.12</v>
      </c>
      <c r="L107" s="4" t="s">
        <v>18</v>
      </c>
      <c r="M107" s="4" t="s">
        <v>240</v>
      </c>
      <c r="N107" s="4" t="s">
        <v>241</v>
      </c>
      <c r="O107" s="21" t="n">
        <v>218</v>
      </c>
      <c r="P107" s="19" t="n">
        <v>65</v>
      </c>
    </row>
    <row r="108" customFormat="false" ht="15" hidden="false" customHeight="true" outlineLevel="0" collapsed="false">
      <c r="A108" s="7" t="n">
        <v>0.536</v>
      </c>
      <c r="B108" s="16" t="s">
        <v>32</v>
      </c>
      <c r="C108" s="7" t="n">
        <v>0.762</v>
      </c>
      <c r="D108" s="7" t="s">
        <v>70</v>
      </c>
      <c r="E108" s="7" t="n">
        <v>0.185</v>
      </c>
      <c r="F108" s="7" t="n">
        <v>1</v>
      </c>
      <c r="G108" s="7" t="n">
        <v>0.216</v>
      </c>
      <c r="H108" s="7" t="n">
        <v>1</v>
      </c>
      <c r="I108" s="7" t="n">
        <v>0.484</v>
      </c>
      <c r="J108" s="7" t="s">
        <v>28</v>
      </c>
      <c r="K108" s="7" t="n">
        <v>0.725</v>
      </c>
      <c r="L108" s="7" t="s">
        <v>136</v>
      </c>
      <c r="M108" s="7" t="s">
        <v>241</v>
      </c>
      <c r="N108" s="7" t="s">
        <v>242</v>
      </c>
      <c r="O108" s="20" t="n">
        <v>221</v>
      </c>
      <c r="P108" s="17" t="n">
        <v>20</v>
      </c>
    </row>
    <row r="109" customFormat="false" ht="15" hidden="false" customHeight="true" outlineLevel="0" collapsed="false">
      <c r="A109" s="4" t="n">
        <v>0.977</v>
      </c>
      <c r="B109" s="18" t="s">
        <v>88</v>
      </c>
      <c r="C109" s="4" t="n">
        <v>0.525</v>
      </c>
      <c r="D109" s="4" t="s">
        <v>29</v>
      </c>
      <c r="E109" s="4" t="n">
        <v>0.283</v>
      </c>
      <c r="F109" s="4" t="n">
        <v>1</v>
      </c>
      <c r="G109" s="4" t="n">
        <v>0.101</v>
      </c>
      <c r="H109" s="4" t="n">
        <v>1</v>
      </c>
      <c r="I109" s="4" t="n">
        <v>0.194</v>
      </c>
      <c r="J109" s="4" t="s">
        <v>28</v>
      </c>
      <c r="K109" s="4" t="n">
        <v>0.227</v>
      </c>
      <c r="L109" s="4" t="s">
        <v>18</v>
      </c>
      <c r="M109" s="4" t="s">
        <v>242</v>
      </c>
      <c r="N109" s="4" t="s">
        <v>243</v>
      </c>
      <c r="O109" s="21" t="n">
        <v>222</v>
      </c>
      <c r="P109" s="19" t="n">
        <v>10</v>
      </c>
    </row>
    <row r="110" customFormat="false" ht="15" hidden="false" customHeight="true" outlineLevel="0" collapsed="false">
      <c r="A110" s="7" t="n">
        <v>0.179</v>
      </c>
      <c r="B110" s="16" t="s">
        <v>14</v>
      </c>
      <c r="C110" s="7" t="n">
        <v>0.014</v>
      </c>
      <c r="D110" s="7" t="s">
        <v>17</v>
      </c>
      <c r="E110" s="7" t="n">
        <v>0.534</v>
      </c>
      <c r="F110" s="7" t="n">
        <v>1</v>
      </c>
      <c r="G110" s="7" t="n">
        <v>0.274</v>
      </c>
      <c r="H110" s="7" t="n">
        <v>1</v>
      </c>
      <c r="I110" s="7" t="n">
        <v>0.974</v>
      </c>
      <c r="J110" s="7" t="s">
        <v>38</v>
      </c>
      <c r="K110" s="7" t="n">
        <v>0.553</v>
      </c>
      <c r="L110" s="7" t="s">
        <v>136</v>
      </c>
      <c r="M110" s="7" t="s">
        <v>243</v>
      </c>
      <c r="N110" s="7" t="s">
        <v>244</v>
      </c>
      <c r="O110" s="20" t="n">
        <v>222</v>
      </c>
      <c r="P110" s="17" t="n">
        <v>10</v>
      </c>
    </row>
    <row r="111" customFormat="false" ht="15" hidden="false" customHeight="true" outlineLevel="0" collapsed="false">
      <c r="A111" s="4" t="n">
        <v>0.697</v>
      </c>
      <c r="B111" s="18" t="s">
        <v>57</v>
      </c>
      <c r="C111" s="4" t="n">
        <v>0.126</v>
      </c>
      <c r="D111" s="4" t="s">
        <v>17</v>
      </c>
      <c r="E111" s="4" t="n">
        <v>0.868</v>
      </c>
      <c r="F111" s="4" t="n">
        <v>3</v>
      </c>
      <c r="G111" s="4" t="n">
        <v>0.491</v>
      </c>
      <c r="H111" s="4" t="n">
        <v>1</v>
      </c>
      <c r="I111" s="4" t="n">
        <v>0.873</v>
      </c>
      <c r="J111" s="4" t="s">
        <v>16</v>
      </c>
      <c r="K111" s="4" t="n">
        <v>0.574</v>
      </c>
      <c r="L111" s="4" t="s">
        <v>136</v>
      </c>
      <c r="M111" s="4" t="s">
        <v>244</v>
      </c>
      <c r="N111" s="4" t="s">
        <v>245</v>
      </c>
      <c r="O111" s="21" t="n">
        <v>221</v>
      </c>
      <c r="P111" s="19" t="n">
        <v>35</v>
      </c>
    </row>
    <row r="112" customFormat="false" ht="15" hidden="false" customHeight="true" outlineLevel="0" collapsed="false">
      <c r="A112" s="7" t="n">
        <v>0.469</v>
      </c>
      <c r="B112" s="16" t="s">
        <v>23</v>
      </c>
      <c r="C112" s="7" t="n">
        <v>0.44</v>
      </c>
      <c r="D112" s="7" t="s">
        <v>29</v>
      </c>
      <c r="E112" s="7" t="n">
        <v>0.184</v>
      </c>
      <c r="F112" s="7" t="n">
        <v>1</v>
      </c>
      <c r="G112" s="7" t="n">
        <v>0.051</v>
      </c>
      <c r="H112" s="7" t="n">
        <v>1</v>
      </c>
      <c r="I112" s="7" t="n">
        <v>0.941</v>
      </c>
      <c r="J112" s="7" t="s">
        <v>38</v>
      </c>
      <c r="K112" s="7" t="n">
        <v>0.478</v>
      </c>
      <c r="L112" s="7" t="s">
        <v>18</v>
      </c>
      <c r="M112" s="7" t="s">
        <v>245</v>
      </c>
      <c r="N112" s="7" t="s">
        <v>246</v>
      </c>
      <c r="O112" s="20" t="n">
        <v>223</v>
      </c>
      <c r="P112" s="17" t="n">
        <v>5</v>
      </c>
    </row>
    <row r="113" customFormat="false" ht="15" hidden="false" customHeight="true" outlineLevel="0" collapsed="false">
      <c r="A113" s="4" t="n">
        <v>0.822</v>
      </c>
      <c r="B113" s="18" t="s">
        <v>54</v>
      </c>
      <c r="C113" s="4" t="n">
        <v>0.401</v>
      </c>
      <c r="D113" s="4" t="s">
        <v>29</v>
      </c>
      <c r="E113" s="4" t="n">
        <v>0.074</v>
      </c>
      <c r="F113" s="4" t="n">
        <v>1</v>
      </c>
      <c r="G113" s="4" t="n">
        <v>0.629</v>
      </c>
      <c r="H113" s="4" t="n">
        <v>2</v>
      </c>
      <c r="I113" s="4" t="n">
        <v>0.054</v>
      </c>
      <c r="J113" s="4" t="s">
        <v>28</v>
      </c>
      <c r="K113" s="4" t="n">
        <v>0.149</v>
      </c>
      <c r="L113" s="4" t="s">
        <v>18</v>
      </c>
      <c r="M113" s="4" t="s">
        <v>246</v>
      </c>
      <c r="N113" s="4" t="s">
        <v>247</v>
      </c>
      <c r="O113" s="21" t="n">
        <v>224</v>
      </c>
      <c r="P113" s="19" t="n">
        <v>90</v>
      </c>
    </row>
    <row r="114" customFormat="false" ht="15" hidden="false" customHeight="true" outlineLevel="0" collapsed="false">
      <c r="A114" s="7" t="n">
        <v>0.563</v>
      </c>
      <c r="B114" s="16" t="s">
        <v>32</v>
      </c>
      <c r="C114" s="7" t="n">
        <v>0.304</v>
      </c>
      <c r="D114" s="7" t="s">
        <v>17</v>
      </c>
      <c r="E114" s="7" t="n">
        <v>0.994</v>
      </c>
      <c r="F114" s="7" t="n">
        <v>5</v>
      </c>
      <c r="G114" s="7" t="n">
        <v>0.118</v>
      </c>
      <c r="H114" s="7" t="n">
        <v>1</v>
      </c>
      <c r="I114" s="7" t="n">
        <v>0.764</v>
      </c>
      <c r="J114" s="7" t="s">
        <v>16</v>
      </c>
      <c r="K114" s="7" t="n">
        <v>0.606</v>
      </c>
      <c r="L114" s="7" t="s">
        <v>136</v>
      </c>
      <c r="M114" s="7" t="s">
        <v>247</v>
      </c>
      <c r="N114" s="7" t="s">
        <v>248</v>
      </c>
      <c r="O114" s="20" t="n">
        <v>227</v>
      </c>
      <c r="P114" s="17" t="n">
        <v>20</v>
      </c>
    </row>
    <row r="115" customFormat="false" ht="15" hidden="false" customHeight="true" outlineLevel="0" collapsed="false">
      <c r="A115" s="4" t="n">
        <v>0.791</v>
      </c>
      <c r="B115" s="18" t="s">
        <v>66</v>
      </c>
      <c r="C115" s="4" t="n">
        <v>0.226</v>
      </c>
      <c r="D115" s="4" t="s">
        <v>17</v>
      </c>
      <c r="E115" s="4" t="n">
        <v>0.523</v>
      </c>
      <c r="F115" s="4" t="n">
        <v>1</v>
      </c>
      <c r="G115" s="4" t="n">
        <v>0.451</v>
      </c>
      <c r="H115" s="4" t="n">
        <v>1</v>
      </c>
      <c r="I115" s="4" t="n">
        <v>0.443</v>
      </c>
      <c r="J115" s="4" t="s">
        <v>28</v>
      </c>
      <c r="K115" s="4" t="n">
        <v>0.86</v>
      </c>
      <c r="L115" s="4" t="s">
        <v>136</v>
      </c>
      <c r="M115" s="4" t="s">
        <v>248</v>
      </c>
      <c r="N115" s="4" t="s">
        <v>249</v>
      </c>
      <c r="O115" s="21" t="n">
        <v>228</v>
      </c>
      <c r="P115" s="19" t="n">
        <v>55</v>
      </c>
    </row>
    <row r="116" customFormat="false" ht="15" hidden="false" customHeight="true" outlineLevel="0" collapsed="false">
      <c r="A116" s="7" t="n">
        <v>0.99</v>
      </c>
      <c r="B116" s="16" t="s">
        <v>89</v>
      </c>
      <c r="C116" s="7" t="n">
        <v>0.305</v>
      </c>
      <c r="D116" s="7" t="s">
        <v>17</v>
      </c>
      <c r="E116" s="7" t="n">
        <v>0.621</v>
      </c>
      <c r="F116" s="7" t="n">
        <v>1</v>
      </c>
      <c r="G116" s="7" t="n">
        <v>0.61</v>
      </c>
      <c r="H116" s="7" t="n">
        <v>2</v>
      </c>
      <c r="I116" s="7" t="n">
        <v>0.74</v>
      </c>
      <c r="J116" s="7" t="s">
        <v>16</v>
      </c>
      <c r="K116" s="7" t="n">
        <v>0.948</v>
      </c>
      <c r="L116" s="7" t="s">
        <v>136</v>
      </c>
      <c r="M116" s="7" t="s">
        <v>249</v>
      </c>
      <c r="N116" s="7" t="s">
        <v>250</v>
      </c>
      <c r="O116" s="20" t="n">
        <v>231</v>
      </c>
      <c r="P116" s="17" t="n">
        <v>20</v>
      </c>
    </row>
    <row r="117" customFormat="false" ht="15" hidden="false" customHeight="true" outlineLevel="0" collapsed="false">
      <c r="A117" s="4" t="n">
        <v>0.208</v>
      </c>
      <c r="B117" s="18" t="s">
        <v>14</v>
      </c>
      <c r="C117" s="4" t="n">
        <v>0.211</v>
      </c>
      <c r="D117" s="4" t="s">
        <v>17</v>
      </c>
      <c r="E117" s="4" t="n">
        <v>0.66</v>
      </c>
      <c r="F117" s="4" t="n">
        <v>2</v>
      </c>
      <c r="G117" s="4" t="n">
        <v>0.157</v>
      </c>
      <c r="H117" s="4" t="n">
        <v>1</v>
      </c>
      <c r="I117" s="4" t="n">
        <v>0.174</v>
      </c>
      <c r="J117" s="4" t="s">
        <v>28</v>
      </c>
      <c r="K117" s="4" t="n">
        <v>0.075</v>
      </c>
      <c r="L117" s="4" t="s">
        <v>18</v>
      </c>
      <c r="M117" s="4" t="s">
        <v>250</v>
      </c>
      <c r="N117" s="4" t="s">
        <v>251</v>
      </c>
      <c r="O117" s="21" t="n">
        <v>231</v>
      </c>
      <c r="P117" s="19" t="n">
        <v>10</v>
      </c>
    </row>
    <row r="118" customFormat="false" ht="15" hidden="false" customHeight="true" outlineLevel="0" collapsed="false">
      <c r="A118" s="7" t="n">
        <v>0.003</v>
      </c>
      <c r="B118" s="16" t="s">
        <v>14</v>
      </c>
      <c r="C118" s="7" t="n">
        <v>0.451</v>
      </c>
      <c r="D118" s="7" t="s">
        <v>29</v>
      </c>
      <c r="E118" s="7" t="n">
        <v>0.594</v>
      </c>
      <c r="F118" s="7" t="n">
        <v>1</v>
      </c>
      <c r="G118" s="7" t="n">
        <v>0.291</v>
      </c>
      <c r="H118" s="7" t="n">
        <v>1</v>
      </c>
      <c r="I118" s="7" t="n">
        <v>0.231</v>
      </c>
      <c r="J118" s="7" t="s">
        <v>28</v>
      </c>
      <c r="K118" s="7" t="n">
        <v>0.707</v>
      </c>
      <c r="L118" s="7" t="s">
        <v>136</v>
      </c>
      <c r="M118" s="7" t="s">
        <v>251</v>
      </c>
      <c r="N118" s="7" t="s">
        <v>252</v>
      </c>
      <c r="O118" s="20" t="n">
        <v>232</v>
      </c>
      <c r="P118" s="17" t="n">
        <v>10</v>
      </c>
    </row>
    <row r="119" customFormat="false" ht="15" hidden="false" customHeight="true" outlineLevel="0" collapsed="false">
      <c r="A119" s="4" t="n">
        <v>0.703</v>
      </c>
      <c r="B119" s="18" t="s">
        <v>40</v>
      </c>
      <c r="C119" s="4" t="n">
        <v>0.454</v>
      </c>
      <c r="D119" s="4" t="s">
        <v>29</v>
      </c>
      <c r="E119" s="4" t="n">
        <v>0.687</v>
      </c>
      <c r="F119" s="4" t="n">
        <v>2</v>
      </c>
      <c r="G119" s="4" t="n">
        <v>0.924</v>
      </c>
      <c r="H119" s="4" t="n">
        <v>3</v>
      </c>
      <c r="I119" s="4" t="n">
        <v>0.788</v>
      </c>
      <c r="J119" s="4" t="s">
        <v>16</v>
      </c>
      <c r="K119" s="4" t="n">
        <v>0.625</v>
      </c>
      <c r="L119" s="4" t="s">
        <v>136</v>
      </c>
      <c r="M119" s="4" t="s">
        <v>252</v>
      </c>
      <c r="N119" s="4" t="s">
        <v>253</v>
      </c>
      <c r="O119" s="21" t="n">
        <v>232</v>
      </c>
      <c r="P119" s="19" t="n">
        <v>195</v>
      </c>
    </row>
    <row r="120" customFormat="false" ht="15" hidden="false" customHeight="true" outlineLevel="0" collapsed="false">
      <c r="A120" s="7" t="n">
        <v>0.661</v>
      </c>
      <c r="B120" s="16" t="s">
        <v>57</v>
      </c>
      <c r="C120" s="7" t="n">
        <v>0.934</v>
      </c>
      <c r="D120" s="7" t="s">
        <v>95</v>
      </c>
      <c r="E120" s="7" t="n">
        <v>0.425</v>
      </c>
      <c r="F120" s="7" t="n">
        <v>1</v>
      </c>
      <c r="G120" s="7" t="n">
        <v>0.545</v>
      </c>
      <c r="H120" s="7" t="n">
        <v>1</v>
      </c>
      <c r="I120" s="7" t="n">
        <v>0.648</v>
      </c>
      <c r="J120" s="7" t="s">
        <v>16</v>
      </c>
      <c r="K120" s="7" t="n">
        <v>0.908</v>
      </c>
      <c r="L120" s="7" t="s">
        <v>136</v>
      </c>
      <c r="M120" s="7" t="s">
        <v>253</v>
      </c>
      <c r="N120" s="7" t="s">
        <v>254</v>
      </c>
      <c r="O120" s="20" t="n">
        <v>243</v>
      </c>
      <c r="P120" s="17" t="n">
        <v>35</v>
      </c>
    </row>
    <row r="121" customFormat="false" ht="15" hidden="false" customHeight="true" outlineLevel="0" collapsed="false">
      <c r="A121" s="4" t="n">
        <v>0.827</v>
      </c>
      <c r="B121" s="18" t="s">
        <v>54</v>
      </c>
      <c r="C121" s="4" t="n">
        <v>0.071</v>
      </c>
      <c r="D121" s="4" t="s">
        <v>17</v>
      </c>
      <c r="E121" s="4" t="n">
        <v>0.166</v>
      </c>
      <c r="F121" s="4" t="n">
        <v>1</v>
      </c>
      <c r="G121" s="4" t="n">
        <v>0.308</v>
      </c>
      <c r="H121" s="4" t="n">
        <v>1</v>
      </c>
      <c r="I121" s="4" t="n">
        <v>0.749</v>
      </c>
      <c r="J121" s="4" t="s">
        <v>16</v>
      </c>
      <c r="K121" s="4" t="n">
        <v>0.569</v>
      </c>
      <c r="L121" s="4" t="s">
        <v>136</v>
      </c>
      <c r="M121" s="4" t="s">
        <v>254</v>
      </c>
      <c r="N121" s="4" t="s">
        <v>255</v>
      </c>
      <c r="O121" s="21" t="n">
        <v>245</v>
      </c>
      <c r="P121" s="19" t="n">
        <v>45</v>
      </c>
    </row>
    <row r="122" customFormat="false" ht="15" hidden="false" customHeight="true" outlineLevel="0" collapsed="false">
      <c r="A122" s="7" t="n">
        <v>0.289</v>
      </c>
      <c r="B122" s="16" t="s">
        <v>14</v>
      </c>
      <c r="C122" s="7" t="n">
        <v>0.124</v>
      </c>
      <c r="D122" s="7" t="s">
        <v>17</v>
      </c>
      <c r="E122" s="7" t="n">
        <v>0.689</v>
      </c>
      <c r="F122" s="7" t="n">
        <v>2</v>
      </c>
      <c r="G122" s="7" t="n">
        <v>0.7</v>
      </c>
      <c r="H122" s="7" t="n">
        <v>2</v>
      </c>
      <c r="I122" s="7" t="n">
        <v>0.943</v>
      </c>
      <c r="J122" s="7" t="s">
        <v>38</v>
      </c>
      <c r="K122" s="7" t="n">
        <v>0.5</v>
      </c>
      <c r="L122" s="7" t="s">
        <v>18</v>
      </c>
      <c r="M122" s="7" t="s">
        <v>255</v>
      </c>
      <c r="N122" s="7" t="s">
        <v>256</v>
      </c>
      <c r="O122" s="20" t="n">
        <v>247</v>
      </c>
      <c r="P122" s="17" t="n">
        <v>20</v>
      </c>
    </row>
    <row r="123" customFormat="false" ht="15" hidden="false" customHeight="true" outlineLevel="0" collapsed="false">
      <c r="A123" s="4" t="n">
        <v>0.494</v>
      </c>
      <c r="B123" s="18" t="s">
        <v>23</v>
      </c>
      <c r="C123" s="4" t="n">
        <v>0.08</v>
      </c>
      <c r="D123" s="4" t="s">
        <v>17</v>
      </c>
      <c r="E123" s="4" t="n">
        <v>0.04</v>
      </c>
      <c r="F123" s="4" t="n">
        <v>1</v>
      </c>
      <c r="G123" s="4" t="n">
        <v>0.432</v>
      </c>
      <c r="H123" s="4" t="n">
        <v>1</v>
      </c>
      <c r="I123" s="4" t="n">
        <v>0.322</v>
      </c>
      <c r="J123" s="4" t="s">
        <v>28</v>
      </c>
      <c r="K123" s="4" t="n">
        <v>0.25</v>
      </c>
      <c r="L123" s="4" t="s">
        <v>18</v>
      </c>
      <c r="M123" s="4" t="s">
        <v>256</v>
      </c>
      <c r="N123" s="4" t="s">
        <v>257</v>
      </c>
      <c r="O123" s="21" t="n">
        <v>250</v>
      </c>
      <c r="P123" s="19" t="n">
        <v>5</v>
      </c>
    </row>
    <row r="124" customFormat="false" ht="15" hidden="false" customHeight="true" outlineLevel="0" collapsed="false">
      <c r="A124" s="7" t="n">
        <v>0.091</v>
      </c>
      <c r="B124" s="16" t="s">
        <v>14</v>
      </c>
      <c r="C124" s="7" t="n">
        <v>0.962</v>
      </c>
      <c r="D124" s="7" t="s">
        <v>95</v>
      </c>
      <c r="E124" s="7" t="n">
        <v>0.836</v>
      </c>
      <c r="F124" s="7" t="n">
        <v>2</v>
      </c>
      <c r="G124" s="7" t="n">
        <v>0.575</v>
      </c>
      <c r="H124" s="7" t="n">
        <v>1</v>
      </c>
      <c r="I124" s="7" t="n">
        <v>0.951</v>
      </c>
      <c r="J124" s="7" t="s">
        <v>38</v>
      </c>
      <c r="K124" s="7" t="n">
        <v>1</v>
      </c>
      <c r="L124" s="7" t="s">
        <v>136</v>
      </c>
      <c r="M124" s="7" t="s">
        <v>257</v>
      </c>
      <c r="N124" s="7" t="s">
        <v>258</v>
      </c>
      <c r="O124" s="20" t="n">
        <v>250</v>
      </c>
      <c r="P124" s="17" t="n">
        <v>10</v>
      </c>
    </row>
    <row r="125" customFormat="false" ht="15" hidden="false" customHeight="true" outlineLevel="0" collapsed="false">
      <c r="A125" s="4" t="n">
        <v>0.672</v>
      </c>
      <c r="B125" s="18" t="s">
        <v>57</v>
      </c>
      <c r="C125" s="4" t="n">
        <v>0.27</v>
      </c>
      <c r="D125" s="4" t="s">
        <v>17</v>
      </c>
      <c r="E125" s="4" t="n">
        <v>0.04</v>
      </c>
      <c r="F125" s="4" t="n">
        <v>1</v>
      </c>
      <c r="G125" s="4" t="n">
        <v>0.756</v>
      </c>
      <c r="H125" s="4" t="n">
        <v>2</v>
      </c>
      <c r="I125" s="4" t="n">
        <v>0.471</v>
      </c>
      <c r="J125" s="4" t="s">
        <v>28</v>
      </c>
      <c r="K125" s="4" t="n">
        <v>0.652</v>
      </c>
      <c r="L125" s="4" t="s">
        <v>136</v>
      </c>
      <c r="M125" s="4" t="s">
        <v>258</v>
      </c>
      <c r="N125" s="4" t="s">
        <v>259</v>
      </c>
      <c r="O125" s="21" t="n">
        <v>251</v>
      </c>
      <c r="P125" s="19" t="n">
        <v>70</v>
      </c>
    </row>
    <row r="126" customFormat="false" ht="15" hidden="false" customHeight="true" outlineLevel="0" collapsed="false">
      <c r="A126" s="7" t="n">
        <v>0.916</v>
      </c>
      <c r="B126" s="16" t="s">
        <v>87</v>
      </c>
      <c r="C126" s="7" t="n">
        <v>0.181</v>
      </c>
      <c r="D126" s="7" t="s">
        <v>17</v>
      </c>
      <c r="E126" s="7" t="n">
        <v>0.585</v>
      </c>
      <c r="F126" s="7" t="n">
        <v>1</v>
      </c>
      <c r="G126" s="7" t="n">
        <v>0.635</v>
      </c>
      <c r="H126" s="7" t="n">
        <v>2</v>
      </c>
      <c r="I126" s="7" t="n">
        <v>0.492</v>
      </c>
      <c r="J126" s="7" t="s">
        <v>28</v>
      </c>
      <c r="K126" s="7" t="n">
        <v>0.091</v>
      </c>
      <c r="L126" s="7" t="s">
        <v>18</v>
      </c>
      <c r="M126" s="7" t="s">
        <v>259</v>
      </c>
      <c r="N126" s="7" t="s">
        <v>260</v>
      </c>
      <c r="O126" s="20" t="n">
        <v>256</v>
      </c>
      <c r="P126" s="17" t="n">
        <v>30</v>
      </c>
    </row>
    <row r="127" customFormat="false" ht="15" hidden="false" customHeight="true" outlineLevel="0" collapsed="false">
      <c r="A127" s="4" t="n">
        <v>0.348</v>
      </c>
      <c r="B127" s="18" t="s">
        <v>36</v>
      </c>
      <c r="C127" s="4" t="n">
        <v>0.333</v>
      </c>
      <c r="D127" s="4" t="s">
        <v>17</v>
      </c>
      <c r="E127" s="4" t="n">
        <v>0.67</v>
      </c>
      <c r="F127" s="4" t="n">
        <v>2</v>
      </c>
      <c r="G127" s="4" t="n">
        <v>0.858</v>
      </c>
      <c r="H127" s="4" t="n">
        <v>3</v>
      </c>
      <c r="I127" s="4" t="n">
        <v>0.33</v>
      </c>
      <c r="J127" s="4" t="s">
        <v>28</v>
      </c>
      <c r="K127" s="4" t="n">
        <v>0.694</v>
      </c>
      <c r="L127" s="4" t="s">
        <v>136</v>
      </c>
      <c r="M127" s="4" t="s">
        <v>260</v>
      </c>
      <c r="N127" s="4" t="s">
        <v>261</v>
      </c>
      <c r="O127" s="21" t="n">
        <v>258</v>
      </c>
      <c r="P127" s="19" t="n">
        <v>15</v>
      </c>
    </row>
    <row r="128" customFormat="false" ht="15" hidden="false" customHeight="true" outlineLevel="0" collapsed="false">
      <c r="A128" s="7" t="n">
        <v>0.288</v>
      </c>
      <c r="B128" s="16" t="s">
        <v>14</v>
      </c>
      <c r="C128" s="7" t="n">
        <v>0.945</v>
      </c>
      <c r="D128" s="7" t="s">
        <v>95</v>
      </c>
      <c r="E128" s="7" t="n">
        <v>0.814</v>
      </c>
      <c r="F128" s="7" t="n">
        <v>2</v>
      </c>
      <c r="G128" s="7" t="n">
        <v>0.55</v>
      </c>
      <c r="H128" s="7" t="n">
        <v>1</v>
      </c>
      <c r="I128" s="7" t="n">
        <v>0.455</v>
      </c>
      <c r="J128" s="7" t="s">
        <v>28</v>
      </c>
      <c r="K128" s="7" t="n">
        <v>0.315</v>
      </c>
      <c r="L128" s="7" t="s">
        <v>18</v>
      </c>
      <c r="M128" s="7" t="s">
        <v>261</v>
      </c>
      <c r="N128" s="7" t="s">
        <v>262</v>
      </c>
      <c r="O128" s="20" t="n">
        <v>259</v>
      </c>
      <c r="P128" s="17" t="n">
        <v>10</v>
      </c>
    </row>
    <row r="129" customFormat="false" ht="15" hidden="false" customHeight="true" outlineLevel="0" collapsed="false">
      <c r="A129" s="4" t="n">
        <v>0.323</v>
      </c>
      <c r="B129" s="18" t="s">
        <v>36</v>
      </c>
      <c r="C129" s="4" t="n">
        <v>0.97</v>
      </c>
      <c r="D129" s="4" t="s">
        <v>95</v>
      </c>
      <c r="E129" s="4" t="n">
        <v>0.404</v>
      </c>
      <c r="F129" s="4" t="n">
        <v>1</v>
      </c>
      <c r="G129" s="4" t="n">
        <v>0.515</v>
      </c>
      <c r="H129" s="4" t="n">
        <v>1</v>
      </c>
      <c r="I129" s="4" t="n">
        <v>0.988</v>
      </c>
      <c r="J129" s="4" t="s">
        <v>38</v>
      </c>
      <c r="K129" s="4" t="n">
        <v>0.658</v>
      </c>
      <c r="L129" s="4" t="s">
        <v>136</v>
      </c>
      <c r="M129" s="4" t="s">
        <v>262</v>
      </c>
      <c r="N129" s="4" t="s">
        <v>263</v>
      </c>
      <c r="O129" s="21" t="n">
        <v>260</v>
      </c>
      <c r="P129" s="19" t="n">
        <v>5</v>
      </c>
    </row>
    <row r="130" customFormat="false" ht="15" hidden="false" customHeight="true" outlineLevel="0" collapsed="false">
      <c r="A130" s="7" t="n">
        <v>0.543</v>
      </c>
      <c r="B130" s="16" t="s">
        <v>32</v>
      </c>
      <c r="C130" s="7" t="n">
        <v>0.413</v>
      </c>
      <c r="D130" s="7" t="s">
        <v>29</v>
      </c>
      <c r="E130" s="7" t="n">
        <v>0.188</v>
      </c>
      <c r="F130" s="7" t="n">
        <v>1</v>
      </c>
      <c r="G130" s="7" t="n">
        <v>0.362</v>
      </c>
      <c r="H130" s="7" t="n">
        <v>1</v>
      </c>
      <c r="I130" s="7" t="n">
        <v>0.756</v>
      </c>
      <c r="J130" s="7" t="s">
        <v>16</v>
      </c>
      <c r="K130" s="7" t="n">
        <v>0.625</v>
      </c>
      <c r="L130" s="7" t="s">
        <v>136</v>
      </c>
      <c r="M130" s="7" t="s">
        <v>263</v>
      </c>
      <c r="N130" s="7" t="s">
        <v>264</v>
      </c>
      <c r="O130" s="20" t="n">
        <v>260</v>
      </c>
      <c r="P130" s="17" t="n">
        <v>20</v>
      </c>
    </row>
    <row r="131" customFormat="false" ht="15" hidden="false" customHeight="true" outlineLevel="0" collapsed="false">
      <c r="A131" s="4" t="n">
        <v>0.76</v>
      </c>
      <c r="B131" s="18" t="s">
        <v>66</v>
      </c>
      <c r="C131" s="4" t="n">
        <v>0.204</v>
      </c>
      <c r="D131" s="4" t="s">
        <v>17</v>
      </c>
      <c r="E131" s="4" t="n">
        <v>0.549</v>
      </c>
      <c r="F131" s="4" t="n">
        <v>1</v>
      </c>
      <c r="G131" s="4" t="n">
        <v>0.928</v>
      </c>
      <c r="H131" s="4" t="n">
        <v>3</v>
      </c>
      <c r="I131" s="4" t="n">
        <v>0.438</v>
      </c>
      <c r="J131" s="4" t="s">
        <v>28</v>
      </c>
      <c r="K131" s="4" t="n">
        <v>0.698</v>
      </c>
      <c r="L131" s="4" t="s">
        <v>136</v>
      </c>
      <c r="M131" s="4" t="s">
        <v>264</v>
      </c>
      <c r="N131" s="4" t="s">
        <v>265</v>
      </c>
      <c r="O131" s="21" t="n">
        <v>261</v>
      </c>
      <c r="P131" s="19" t="n">
        <v>165</v>
      </c>
    </row>
    <row r="132" customFormat="false" ht="15" hidden="false" customHeight="true" outlineLevel="0" collapsed="false">
      <c r="A132" s="7" t="n">
        <v>0.121</v>
      </c>
      <c r="B132" s="16" t="s">
        <v>14</v>
      </c>
      <c r="C132" s="7" t="n">
        <v>0.973</v>
      </c>
      <c r="D132" s="7" t="s">
        <v>95</v>
      </c>
      <c r="E132" s="7" t="n">
        <v>0.609</v>
      </c>
      <c r="F132" s="7" t="n">
        <v>1</v>
      </c>
      <c r="G132" s="7" t="n">
        <v>0.239</v>
      </c>
      <c r="H132" s="7" t="n">
        <v>1</v>
      </c>
      <c r="I132" s="7" t="n">
        <v>0.158</v>
      </c>
      <c r="J132" s="7" t="s">
        <v>28</v>
      </c>
      <c r="K132" s="7" t="n">
        <v>0.551</v>
      </c>
      <c r="L132" s="7" t="s">
        <v>136</v>
      </c>
      <c r="M132" s="7" t="s">
        <v>265</v>
      </c>
      <c r="N132" s="7" t="s">
        <v>266</v>
      </c>
      <c r="O132" s="20" t="n">
        <v>272</v>
      </c>
      <c r="P132" s="17" t="n">
        <v>10</v>
      </c>
    </row>
    <row r="133" customFormat="false" ht="15" hidden="false" customHeight="true" outlineLevel="0" collapsed="false">
      <c r="A133" s="4" t="n">
        <v>0.552</v>
      </c>
      <c r="B133" s="18" t="s">
        <v>32</v>
      </c>
      <c r="C133" s="4" t="n">
        <v>0.093</v>
      </c>
      <c r="D133" s="4" t="s">
        <v>17</v>
      </c>
      <c r="E133" s="4" t="n">
        <v>0.992</v>
      </c>
      <c r="F133" s="4" t="n">
        <v>5</v>
      </c>
      <c r="G133" s="4" t="n">
        <v>0.913</v>
      </c>
      <c r="H133" s="4" t="n">
        <v>3</v>
      </c>
      <c r="I133" s="4" t="n">
        <v>0.461</v>
      </c>
      <c r="J133" s="4" t="s">
        <v>28</v>
      </c>
      <c r="K133" s="4" t="n">
        <v>0.117</v>
      </c>
      <c r="L133" s="4" t="s">
        <v>18</v>
      </c>
      <c r="M133" s="4" t="s">
        <v>266</v>
      </c>
      <c r="N133" s="4" t="s">
        <v>267</v>
      </c>
      <c r="O133" s="21" t="n">
        <v>269</v>
      </c>
      <c r="P133" s="19" t="n">
        <v>60</v>
      </c>
    </row>
    <row r="134" customFormat="false" ht="15" hidden="false" customHeight="true" outlineLevel="0" collapsed="false">
      <c r="A134" s="7" t="n">
        <v>0.832</v>
      </c>
      <c r="B134" s="16" t="s">
        <v>54</v>
      </c>
      <c r="C134" s="7" t="n">
        <v>0.498</v>
      </c>
      <c r="D134" s="7" t="s">
        <v>29</v>
      </c>
      <c r="E134" s="7" t="n">
        <v>0.717</v>
      </c>
      <c r="F134" s="7" t="n">
        <v>2</v>
      </c>
      <c r="G134" s="7" t="n">
        <v>0.509</v>
      </c>
      <c r="H134" s="7" t="n">
        <v>1</v>
      </c>
      <c r="I134" s="7" t="n">
        <v>0.273</v>
      </c>
      <c r="J134" s="7" t="s">
        <v>28</v>
      </c>
      <c r="K134" s="7" t="n">
        <v>0.835</v>
      </c>
      <c r="L134" s="7" t="s">
        <v>136</v>
      </c>
      <c r="M134" s="7" t="s">
        <v>267</v>
      </c>
      <c r="N134" s="7" t="s">
        <v>268</v>
      </c>
      <c r="O134" s="20" t="n">
        <v>273</v>
      </c>
      <c r="P134" s="17" t="n">
        <v>45</v>
      </c>
    </row>
    <row r="135" customFormat="false" ht="15" hidden="false" customHeight="true" outlineLevel="0" collapsed="false">
      <c r="A135" s="4" t="n">
        <v>0.98</v>
      </c>
      <c r="B135" s="18" t="s">
        <v>89</v>
      </c>
      <c r="C135" s="4" t="n">
        <v>0.244</v>
      </c>
      <c r="D135" s="4" t="s">
        <v>17</v>
      </c>
      <c r="E135" s="4" t="n">
        <v>0.551</v>
      </c>
      <c r="F135" s="4" t="n">
        <v>1</v>
      </c>
      <c r="G135" s="4" t="n">
        <v>0.384</v>
      </c>
      <c r="H135" s="4" t="n">
        <v>1</v>
      </c>
      <c r="I135" s="4" t="n">
        <v>0.922</v>
      </c>
      <c r="J135" s="4" t="s">
        <v>38</v>
      </c>
      <c r="K135" s="4" t="n">
        <v>0.508</v>
      </c>
      <c r="L135" s="4" t="s">
        <v>18</v>
      </c>
      <c r="M135" s="4" t="s">
        <v>268</v>
      </c>
      <c r="N135" s="4" t="s">
        <v>269</v>
      </c>
      <c r="O135" s="21" t="n">
        <v>276</v>
      </c>
      <c r="P135" s="19" t="n">
        <v>10</v>
      </c>
    </row>
    <row r="136" customFormat="false" ht="15" hidden="false" customHeight="true" outlineLevel="0" collapsed="false">
      <c r="A136" s="7" t="n">
        <v>0.879</v>
      </c>
      <c r="B136" s="16" t="s">
        <v>46</v>
      </c>
      <c r="C136" s="7" t="n">
        <v>0.864</v>
      </c>
      <c r="D136" s="7" t="s">
        <v>70</v>
      </c>
      <c r="E136" s="7" t="n">
        <v>0.276</v>
      </c>
      <c r="F136" s="7" t="n">
        <v>1</v>
      </c>
      <c r="G136" s="7" t="n">
        <v>0.79</v>
      </c>
      <c r="H136" s="7" t="n">
        <v>2</v>
      </c>
      <c r="I136" s="7" t="n">
        <v>0.415</v>
      </c>
      <c r="J136" s="7" t="s">
        <v>28</v>
      </c>
      <c r="K136" s="7" t="n">
        <v>0.934</v>
      </c>
      <c r="L136" s="7" t="s">
        <v>136</v>
      </c>
      <c r="M136" s="7" t="s">
        <v>269</v>
      </c>
      <c r="N136" s="7" t="s">
        <v>270</v>
      </c>
      <c r="O136" s="20" t="n">
        <v>276</v>
      </c>
      <c r="P136" s="17" t="n">
        <v>30</v>
      </c>
    </row>
    <row r="137" customFormat="false" ht="15" hidden="false" customHeight="true" outlineLevel="0" collapsed="false">
      <c r="A137" s="4" t="n">
        <v>0.508</v>
      </c>
      <c r="B137" s="18" t="s">
        <v>23</v>
      </c>
      <c r="C137" s="4" t="n">
        <v>0.821</v>
      </c>
      <c r="D137" s="4" t="s">
        <v>70</v>
      </c>
      <c r="E137" s="4" t="n">
        <v>0.283</v>
      </c>
      <c r="F137" s="4" t="n">
        <v>1</v>
      </c>
      <c r="G137" s="4" t="n">
        <v>0.299</v>
      </c>
      <c r="H137" s="4" t="n">
        <v>1</v>
      </c>
      <c r="I137" s="4" t="n">
        <v>0.587</v>
      </c>
      <c r="J137" s="4" t="s">
        <v>16</v>
      </c>
      <c r="K137" s="4" t="n">
        <v>0.999</v>
      </c>
      <c r="L137" s="4" t="s">
        <v>136</v>
      </c>
      <c r="M137" s="4" t="s">
        <v>270</v>
      </c>
      <c r="N137" s="4" t="s">
        <v>271</v>
      </c>
      <c r="O137" s="21" t="n">
        <v>279</v>
      </c>
      <c r="P137" s="19" t="n">
        <v>5</v>
      </c>
    </row>
    <row r="138" customFormat="false" ht="15" hidden="false" customHeight="true" outlineLevel="0" collapsed="false">
      <c r="A138" s="7" t="n">
        <v>0.49</v>
      </c>
      <c r="B138" s="16" t="s">
        <v>23</v>
      </c>
      <c r="C138" s="7" t="n">
        <v>0.149</v>
      </c>
      <c r="D138" s="7" t="s">
        <v>17</v>
      </c>
      <c r="E138" s="7" t="n">
        <v>0.539</v>
      </c>
      <c r="F138" s="7" t="n">
        <v>1</v>
      </c>
      <c r="G138" s="7" t="n">
        <v>0.345</v>
      </c>
      <c r="H138" s="7" t="n">
        <v>1</v>
      </c>
      <c r="I138" s="7" t="n">
        <v>0.552</v>
      </c>
      <c r="J138" s="7" t="s">
        <v>16</v>
      </c>
      <c r="K138" s="7" t="n">
        <v>0.543</v>
      </c>
      <c r="L138" s="7" t="s">
        <v>18</v>
      </c>
      <c r="M138" s="7" t="s">
        <v>271</v>
      </c>
      <c r="N138" s="7" t="s">
        <v>272</v>
      </c>
      <c r="O138" s="20" t="n">
        <v>280</v>
      </c>
      <c r="P138" s="17" t="n">
        <v>5</v>
      </c>
    </row>
    <row r="140" customFormat="false" ht="15" hidden="false" customHeight="true" outlineLevel="0" collapsed="false">
      <c r="A140" s="22" t="s">
        <v>273</v>
      </c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O140" s="23" t="n">
        <f aca="false">AVERAGE(O4:O139)</f>
        <v>133.940740740741</v>
      </c>
      <c r="P140" s="23" t="n">
        <f aca="false">SUM(P4:P139)</f>
        <v>4735</v>
      </c>
    </row>
  </sheetData>
  <mergeCells count="6">
    <mergeCell ref="A1:P1"/>
    <mergeCell ref="A2:D2"/>
    <mergeCell ref="E2:H2"/>
    <mergeCell ref="I2:L2"/>
    <mergeCell ref="M2:P2"/>
    <mergeCell ref="A140:L1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20"/>
    <col collapsed="false" customWidth="true" hidden="false" outlineLevel="0" max="3" min="3" style="1" width="28"/>
  </cols>
  <sheetData>
    <row r="1" customFormat="false" ht="27.75" hidden="false" customHeight="true" outlineLevel="0" collapsed="false">
      <c r="A1" s="2" t="s">
        <v>274</v>
      </c>
      <c r="B1" s="2"/>
      <c r="C1" s="2"/>
      <c r="D1" s="2"/>
    </row>
    <row r="2" customFormat="false" ht="15" hidden="false" customHeight="true" outlineLevel="0" collapsed="false">
      <c r="A2" s="3" t="s">
        <v>275</v>
      </c>
      <c r="B2" s="3" t="s">
        <v>276</v>
      </c>
      <c r="C2" s="3" t="s">
        <v>277</v>
      </c>
    </row>
    <row r="3" customFormat="false" ht="15" hidden="false" customHeight="true" outlineLevel="0" collapsed="false">
      <c r="A3" s="13" t="s">
        <v>278</v>
      </c>
      <c r="B3" s="23" t="n">
        <v>135</v>
      </c>
      <c r="C3" s="24"/>
    </row>
    <row r="4" customFormat="false" ht="15" hidden="false" customHeight="true" outlineLevel="0" collapsed="false">
      <c r="A4" s="12" t="s">
        <v>279</v>
      </c>
      <c r="B4" s="23" t="n">
        <f aca="false">SUM(Simulation!P4:P138)</f>
        <v>4735</v>
      </c>
      <c r="C4" s="25"/>
    </row>
    <row r="5" customFormat="false" ht="15" hidden="false" customHeight="true" outlineLevel="0" collapsed="false">
      <c r="A5" s="13" t="s">
        <v>280</v>
      </c>
      <c r="B5" s="23" t="n">
        <f aca="false">AVERAGE(Simulation!P4:P138)</f>
        <v>35.0740740740741</v>
      </c>
      <c r="C5" s="24"/>
    </row>
    <row r="6" customFormat="false" ht="15" hidden="false" customHeight="true" outlineLevel="0" collapsed="false">
      <c r="A6" s="12" t="s">
        <v>281</v>
      </c>
      <c r="B6" s="23" t="n">
        <f aca="false">AVERAGE(Simulation!O4:O138)</f>
        <v>133.940740740741</v>
      </c>
      <c r="C6" s="25"/>
    </row>
    <row r="7" customFormat="false" ht="15" hidden="false" customHeight="true" outlineLevel="0" collapsed="false">
      <c r="A7" s="13" t="s">
        <v>282</v>
      </c>
      <c r="B7" s="26" t="n">
        <f aca="false">COUNTIF(Simulation!O4:O138,0)/COUNT(Simulation!O4:O138)</f>
        <v>0.00740740740740741</v>
      </c>
      <c r="C7" s="24" t="s">
        <v>283</v>
      </c>
    </row>
    <row r="8" customFormat="false" ht="15" hidden="false" customHeight="true" outlineLevel="0" collapsed="false">
      <c r="A8" s="12" t="s">
        <v>284</v>
      </c>
      <c r="B8" s="23" t="s">
        <v>14</v>
      </c>
      <c r="C8" s="25"/>
    </row>
    <row r="9" customFormat="false" ht="15" hidden="false" customHeight="true" outlineLevel="0" collapsed="false">
      <c r="A9" s="13" t="s">
        <v>285</v>
      </c>
      <c r="B9" s="23" t="s">
        <v>17</v>
      </c>
      <c r="C9" s="24"/>
    </row>
    <row r="10" customFormat="false" ht="15" hidden="false" customHeight="true" outlineLevel="0" collapsed="false">
      <c r="A10" s="12" t="s">
        <v>286</v>
      </c>
      <c r="B10" s="23" t="s">
        <v>28</v>
      </c>
      <c r="C10" s="25"/>
    </row>
    <row r="11" customFormat="false" ht="15" hidden="false" customHeight="true" outlineLevel="0" collapsed="false">
      <c r="A11" s="13" t="s">
        <v>287</v>
      </c>
      <c r="B11" s="27" t="n">
        <f aca="false">IFERROR(COUNTIF(Simulation!O4:O138,0)/COUNT(Simulation!O4:O138),0)</f>
        <v>0.00740740740740741</v>
      </c>
      <c r="C11" s="24" t="s">
        <v>283</v>
      </c>
    </row>
    <row r="12" customFormat="false" ht="15" hidden="false" customHeight="true" outlineLevel="0" collapsed="false">
      <c r="A12" s="12" t="s">
        <v>288</v>
      </c>
      <c r="B12" s="23" t="s">
        <v>289</v>
      </c>
      <c r="C12" s="25" t="s">
        <v>290</v>
      </c>
    </row>
    <row r="15" customFormat="false" ht="48" hidden="false" customHeight="true" outlineLevel="0" collapsed="false">
      <c r="A15" s="28" t="s">
        <v>291</v>
      </c>
      <c r="B15" s="28"/>
      <c r="C15" s="28"/>
      <c r="D15" s="28"/>
    </row>
  </sheetData>
  <mergeCells count="2">
    <mergeCell ref="A1:D1"/>
    <mergeCell ref="A15:D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2026-04-29T13:26:35Z</dcterms:created>
  <dc:creator>openpyxl</dc:creator>
  <dc:description/>
  <dc:language>en-US</dc:language>
  <cp:lastModifiedBy/>
  <dcterms:modified xsi:type="dcterms:W3CDTF">2026-04-29T13:26:54Z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